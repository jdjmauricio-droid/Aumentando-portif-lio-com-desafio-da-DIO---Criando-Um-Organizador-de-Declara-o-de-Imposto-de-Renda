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linha002\Downloads\Desafio Dasboard Excel Github\Imposto\"/>
    </mc:Choice>
  </mc:AlternateContent>
  <xr:revisionPtr revIDLastSave="0" documentId="13_ncr:1_{AFA35392-C778-400A-912E-1F27DA8302A8}" xr6:coauthVersionLast="47" xr6:coauthVersionMax="47" xr10:uidLastSave="{00000000-0000-0000-0000-000000000000}"/>
  <bookViews>
    <workbookView xWindow="-108" yWindow="-108" windowWidth="23256" windowHeight="12456" tabRatio="0" activeTab="1" xr2:uid="{00000000-000D-0000-FFFF-FFFF00000000}"/>
  </bookViews>
  <sheets>
    <sheet name="Perfil" sheetId="1" r:id="rId1"/>
    <sheet name="Movimentações" sheetId="4" r:id="rId2"/>
    <sheet name="PT_DV" sheetId="5" r:id="rId3"/>
    <sheet name="D_BC" sheetId="6" r:id="rId4"/>
    <sheet name="Planilha1" sheetId="2" state="hidden" r:id="rId5"/>
  </sheets>
  <definedNames>
    <definedName name="Despesas_Dedutivas">Planilha1!$B$99:$B$107</definedName>
    <definedName name="Despesas_Incentivadas">Planilha1!$B$108:$B$114</definedName>
    <definedName name="Rendimentos_Exclusivos">Planilha1!$B$91:$B$96</definedName>
    <definedName name="Rendimentos_Isentos">Planilha1!$B$81:$B$90</definedName>
    <definedName name="Rendimentos_Tributaveis">Planilha1!$B$74:$B$80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5" l="1"/>
  <c r="E5" i="5"/>
  <c r="E26" i="1"/>
  <c r="S9" i="6"/>
  <c r="L30" i="6"/>
  <c r="L29" i="6"/>
  <c r="E29" i="6"/>
  <c r="L33" i="5"/>
  <c r="L32" i="5"/>
  <c r="L31" i="5"/>
  <c r="L30" i="5"/>
  <c r="L29" i="5"/>
  <c r="E29" i="5"/>
  <c r="B54" i="2"/>
  <c r="C54" i="2" s="1"/>
  <c r="B55" i="2"/>
  <c r="C55" i="2" s="1"/>
  <c r="O30" i="4" a="1"/>
  <c r="O30" i="4" s="1"/>
  <c r="P38" i="4"/>
  <c r="P34" i="4" a="1"/>
  <c r="P34" i="4" s="1"/>
  <c r="P30" i="4" a="1"/>
  <c r="P30" i="4" s="1"/>
  <c r="P19" i="4"/>
  <c r="P15" i="4" a="1"/>
  <c r="P15" i="4" s="1"/>
  <c r="P11" i="4" a="1"/>
  <c r="P11" i="4" s="1"/>
  <c r="P7" i="4" a="1"/>
  <c r="P7" i="4" s="1"/>
  <c r="O38" i="4" a="1"/>
  <c r="O38" i="4" s="1"/>
  <c r="O34" i="4" a="1"/>
  <c r="O34" i="4" s="1"/>
  <c r="O19" i="4" a="1"/>
  <c r="O19" i="4" s="1"/>
  <c r="O15" i="4" a="1"/>
  <c r="O15" i="4" s="1"/>
  <c r="O7" i="4" a="1"/>
  <c r="O7" i="4" s="1"/>
  <c r="O11" i="4" a="1"/>
  <c r="O11" i="4" s="1"/>
  <c r="Q34" i="4"/>
  <c r="Q33" i="4"/>
  <c r="Q32" i="4"/>
  <c r="Q31" i="4"/>
  <c r="Q30" i="4"/>
  <c r="E29" i="1"/>
  <c r="L30" i="1"/>
  <c r="L31" i="1"/>
  <c r="L32" i="1"/>
  <c r="L33" i="1"/>
  <c r="L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Josué Mauricio</author>
  </authors>
  <commentList>
    <comment ref="M7" authorId="0" shapeId="0" xr:uid="{D3FEA1BB-0147-4313-B598-71D0FA3ED125}">
      <text>
        <r>
          <rPr>
            <b/>
            <sz val="9"/>
            <color indexed="81"/>
            <rFont val="Segoe UI"/>
            <family val="2"/>
          </rPr>
          <t>Josué: Os dados aqui são puramente ilustrativos.</t>
        </r>
      </text>
    </comment>
    <comment ref="M22" authorId="0" shapeId="0" xr:uid="{DA6A2797-7D12-48A4-B5D9-BCBBF09043D8}">
      <text>
        <r>
          <rPr>
            <b/>
            <sz val="9"/>
            <color indexed="81"/>
            <rFont val="Segoe UI"/>
            <family val="2"/>
          </rPr>
          <t>Josué:</t>
        </r>
        <r>
          <rPr>
            <sz val="9"/>
            <color indexed="81"/>
            <rFont val="Segoe UI"/>
            <family val="2"/>
          </rPr>
          <t xml:space="preserve">
Aqui eu utilizei a condicional para gerar as informações abaixo dependendo da quantidade.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<sst xmlns="http://schemas.openxmlformats.org/spreadsheetml/2006/main" count="264" uniqueCount="212">
  <si>
    <t>1. DADOS DO TITULAR (Cadastro)</t>
  </si>
  <si>
    <t>CPF</t>
  </si>
  <si>
    <t>2. DEPENDENTES E ALIMENTANDOS</t>
  </si>
  <si>
    <t>TELEFONE</t>
  </si>
  <si>
    <t>NOME COMPLETO</t>
  </si>
  <si>
    <t>DATA DE NASCIMENTO</t>
  </si>
  <si>
    <t>TÍTULO DE ELEITOR</t>
  </si>
  <si>
    <t>OCUPAÇÃO PRINCIPAL (NATUREZA DA OCUPAÇÃO)</t>
  </si>
  <si>
    <t>ENDEREÇO COMPLETO</t>
  </si>
  <si>
    <t>CELULAR</t>
  </si>
  <si>
    <t>HOUVE MUDANÇA DE ENDEREÇO DESDE A ÚLTIMA DECLARAÇÃO?</t>
  </si>
  <si>
    <t xml:space="preserve">Rua dos Cocais - 113 </t>
  </si>
  <si>
    <t>CIDADE</t>
  </si>
  <si>
    <t>ESTADO</t>
  </si>
  <si>
    <t>Minas Gerais</t>
  </si>
  <si>
    <t>-</t>
  </si>
  <si>
    <t>EMAIL</t>
  </si>
  <si>
    <t xml:space="preserve">preencha as partes indicadas com suas informações </t>
  </si>
  <si>
    <t xml:space="preserve">DEPENDENTES &amp; ALIMENTADOS </t>
  </si>
  <si>
    <t>SIM</t>
  </si>
  <si>
    <t>BAIRRO</t>
  </si>
  <si>
    <t>CEP</t>
  </si>
  <si>
    <t>QUANTIDADE</t>
  </si>
  <si>
    <t>3. RENDIMENTO (TRIBUTAVEIS,ISENSTOS e EXCLUSIVOS)</t>
  </si>
  <si>
    <t xml:space="preserve">DATA </t>
  </si>
  <si>
    <t>TIPO DE RENDIMENTO</t>
  </si>
  <si>
    <t>VALOR</t>
  </si>
  <si>
    <t>TIPO DE RENDIMENTO3</t>
  </si>
  <si>
    <t>DATA</t>
  </si>
  <si>
    <t>VALOR2</t>
  </si>
  <si>
    <t>TOTAL</t>
  </si>
  <si>
    <t>TRIBUTAVEIS</t>
  </si>
  <si>
    <t>ISENTO</t>
  </si>
  <si>
    <t>Rendimentos Tributáveis</t>
  </si>
  <si>
    <t>Rendimentos Isentos e Não Tributáveis</t>
  </si>
  <si>
    <t>Rendimentos Sujeitos à Tributação Exclusiva/Definitiva</t>
  </si>
  <si>
    <t>Salários e Vencimentos</t>
  </si>
  <si>
    <t>Férias (sem abono pecuniário)</t>
  </si>
  <si>
    <t>Pró-labore</t>
  </si>
  <si>
    <t>Aposentadoria e Pensão</t>
  </si>
  <si>
    <t>Aluguéis Recebidos</t>
  </si>
  <si>
    <t>Remuneração por Serviços (Autônomos)</t>
  </si>
  <si>
    <t>Benefícios Previdenciários</t>
  </si>
  <si>
    <t>Abono Pecuniário de Férias</t>
  </si>
  <si>
    <t>Bolsas de Estudo e Pesquisa</t>
  </si>
  <si>
    <t>Heranças e Doações Recebidas</t>
  </si>
  <si>
    <t>Indenizações, Rescisões e FGTS</t>
  </si>
  <si>
    <t>Lucros e Dividendos</t>
  </si>
  <si>
    <t>Parcela Isenta de Aposentadoria (65+ anos)</t>
  </si>
  <si>
    <t>Pensão Alimentícia</t>
  </si>
  <si>
    <t>Rendimentos de Poupança, LCI, LCA, CRI e CRA</t>
  </si>
  <si>
    <t>Restituição de Imposto de Renda (Anos Anteriores)</t>
  </si>
  <si>
    <t>Seguro-Desemprego e Auxílios</t>
  </si>
  <si>
    <t>13º Salário</t>
  </si>
  <si>
    <t>Ganhos de Capital (Venda de Bens)</t>
  </si>
  <si>
    <t>Ganhos Líquidos em Renda Variável (Bolsa de Valores)</t>
  </si>
  <si>
    <t>Juros sobre Capital Próprio (JCP)</t>
  </si>
  <si>
    <t>Participação nos Lucros ou Resultados (PLR)</t>
  </si>
  <si>
    <t>Rendimentos de Renda Fixa (CDB, Tesouro Direto, Fundos)</t>
  </si>
  <si>
    <t>EXCLUSIVO</t>
  </si>
  <si>
    <t>DESCRIÇÂO</t>
  </si>
  <si>
    <t>DESCRIÇÂO2</t>
  </si>
  <si>
    <t>Outros</t>
  </si>
  <si>
    <t>OUTROS</t>
  </si>
  <si>
    <t>Pagamentos Efetuados (Despesas Dedutíveis)</t>
  </si>
  <si>
    <t>Instrução (Educação Infantil, Básica e Superior)</t>
  </si>
  <si>
    <t>Médicos (Consultas e Tratamentos)</t>
  </si>
  <si>
    <t>Odontologistas</t>
  </si>
  <si>
    <t>Psicólogos e Psiquiatras</t>
  </si>
  <si>
    <t>Fisioterapeutas e Fonoaudiólogos</t>
  </si>
  <si>
    <t>Hospitais, Clínicas e Laboratórios</t>
  </si>
  <si>
    <t>Planos de Saúde no Brasil</t>
  </si>
  <si>
    <t>Previdência Privada (PGBL)</t>
  </si>
  <si>
    <t>Pensão Alimentícia Judicial</t>
  </si>
  <si>
    <t>Doações Efetuadas (Incentivadas e Comuns)</t>
  </si>
  <si>
    <t>Fundo dos Direitos da Criança e do Adolescente</t>
  </si>
  <si>
    <t>Fundo Nacional, Estadual ou Municipal do Idoso</t>
  </si>
  <si>
    <t>Incentivo à Cultura (Lei Rouanet)</t>
  </si>
  <si>
    <t>Incentivo à Atividade Audiovisual</t>
  </si>
  <si>
    <t>Incentivo ao Esporte</t>
  </si>
  <si>
    <t>Doações em Dinheiro (Para pessoas físicas ou jurídicas)</t>
  </si>
  <si>
    <t>Doações de Bens e Direitos</t>
  </si>
  <si>
    <t>TIPO DE DESPESA</t>
  </si>
  <si>
    <t>TIPO DE DESPESA2</t>
  </si>
  <si>
    <t>DEDUTIVEL</t>
  </si>
  <si>
    <t>INCENTIVADO</t>
  </si>
  <si>
    <t>4. DEDUÇÔES (SAIDAS/PAGAMENTOS)</t>
  </si>
  <si>
    <t>VALOR4</t>
  </si>
  <si>
    <t>CNPJ/CPF</t>
  </si>
  <si>
    <t>CNPJ/CPF2</t>
  </si>
  <si>
    <t>BENEFICIARIO</t>
  </si>
  <si>
    <t>BENEFICIARIO2</t>
  </si>
  <si>
    <t>BENIFICIARIOS</t>
  </si>
  <si>
    <t>DEPENDENTE</t>
  </si>
  <si>
    <t>Python</t>
  </si>
  <si>
    <t>BANCO 1º</t>
  </si>
  <si>
    <t>Banco:</t>
  </si>
  <si>
    <t>Chave PIX:</t>
  </si>
  <si>
    <r>
      <t>Tipo de Conta:</t>
    </r>
    <r>
      <rPr>
        <sz val="11"/>
        <color rgb="FF1F1F1F"/>
        <rFont val="Segoe UI Light"/>
        <family val="2"/>
      </rPr>
      <t xml:space="preserve"> Crie uma lista suspensa com as opções (Conta Corrente, Conta Poupança, Conta de Pagamento).</t>
    </r>
  </si>
  <si>
    <r>
      <t>Banco:</t>
    </r>
    <r>
      <rPr>
        <sz val="11"/>
        <color rgb="FF1F1F1F"/>
        <rFont val="Segoe UI Light"/>
        <family val="2"/>
      </rPr>
      <t xml:space="preserve"> O código e o nome do banco (Ex: 001 - Banco do Brasil, 341 - Itaú, 260 - Nubank).</t>
    </r>
  </si>
  <si>
    <r>
      <t>Agência:</t>
    </r>
    <r>
      <rPr>
        <sz val="11"/>
        <color rgb="FF1F1F1F"/>
        <rFont val="Segoe UI Light"/>
        <family val="2"/>
      </rPr>
      <t xml:space="preserve"> Apenas os números, geralmente sem o dígito verificador.</t>
    </r>
  </si>
  <si>
    <r>
      <t>Número da Conta:</t>
    </r>
    <r>
      <rPr>
        <sz val="11"/>
        <color rgb="FF1F1F1F"/>
        <rFont val="Segoe UI Light"/>
        <family val="2"/>
      </rPr>
      <t xml:space="preserve"> O número completo junto com o dígito verificador (DV).</t>
    </r>
  </si>
  <si>
    <r>
      <t>Chave PIX:</t>
    </r>
    <r>
      <rPr>
        <sz val="11"/>
        <color rgb="FF1F1F1F"/>
        <rFont val="Segoe UI Light"/>
        <family val="2"/>
      </rPr>
      <t xml:space="preserve"> Uma opção cada vez mais usada para receber a restituição mais rápido.</t>
    </r>
  </si>
  <si>
    <t xml:space="preserve">Número da Conta: </t>
  </si>
  <si>
    <t xml:space="preserve">Agência: </t>
  </si>
  <si>
    <t xml:space="preserve">Tipo de Conta: </t>
  </si>
  <si>
    <t>VALOR:</t>
  </si>
  <si>
    <t>BANCO 2º</t>
  </si>
  <si>
    <t>DADOS BANCARIOS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</si>
  <si>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</si>
  <si>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</si>
  <si>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</si>
  <si>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</si>
  <si>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</si>
  <si>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</si>
  <si>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</si>
  <si>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</si>
  <si>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</si>
  <si>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</si>
  <si>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</si>
  <si>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</si>
  <si>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</si>
  <si>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</si>
  <si>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</si>
  <si>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</si>
  <si>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</si>
  <si>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</si>
  <si>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</si>
  <si>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</si>
  <si>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</si>
  <si>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</si>
  <si>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</si>
  <si>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</si>
  <si>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</si>
  <si>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</si>
  <si>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</si>
  <si>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</si>
  <si>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</si>
  <si>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</si>
  <si>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</si>
  <si>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</si>
  <si>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</si>
  <si>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</si>
  <si>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</si>
  <si>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</si>
  <si>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</si>
  <si>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</si>
  <si>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</si>
  <si>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</si>
  <si>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</si>
  <si>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</si>
  <si>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</si>
  <si>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</si>
  <si>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</si>
  <si>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</si>
  <si>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</si>
  <si>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</si>
  <si>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</si>
  <si>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</si>
  <si>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Conta Poupança</t>
  </si>
  <si>
    <t>5. PATRIMONIOS E DIVIDAS</t>
  </si>
  <si>
    <t>TIPO DE BEM</t>
  </si>
  <si>
    <t>SALDO FINAL (xx/xx/xxxx)</t>
  </si>
  <si>
    <t>SALDO INICIAL (xx/xx/xxxx)</t>
  </si>
  <si>
    <t>Empregado de empresa do setor privado</t>
  </si>
  <si>
    <t>Trabalhador de instituição pública (Federal, Estadual ou Municipal)</t>
  </si>
  <si>
    <t>Empregado de organizações não governamentais (ONGs)</t>
  </si>
  <si>
    <t>Empregado de empresas públicas e sociedades de economia mista</t>
  </si>
  <si>
    <t>Militar (Aeronáutica, Exército, Marinha ou Polícias)</t>
  </si>
  <si>
    <t>Profissional liberal ou autônomo sem vínculo de emprego</t>
  </si>
  <si>
    <t>Proprietário de empresa ou de firma individual</t>
  </si>
  <si>
    <t>Aposentado, militar da reserva ou pensionista de previdência</t>
  </si>
  <si>
    <t>Beneficiário de pensão alimentícia judicial</t>
  </si>
  <si>
    <t>Bolsista</t>
  </si>
  <si>
    <t>Desempregado ou não aplicável</t>
  </si>
  <si>
    <t>Outras ocupações</t>
  </si>
  <si>
    <t>OCUPAÇÕES</t>
  </si>
  <si>
    <t>Diamantina</t>
  </si>
  <si>
    <t>Lucas Bernardo</t>
  </si>
  <si>
    <t>Acre(AC)</t>
  </si>
  <si>
    <t>Alagoas(AL)</t>
  </si>
  <si>
    <t>Amapá(AP)</t>
  </si>
  <si>
    <t>Amazonas(AM)</t>
  </si>
  <si>
    <t>Bahia(BA)</t>
  </si>
  <si>
    <t>Ceará(CE)</t>
  </si>
  <si>
    <t>DistritoFederal(DF)</t>
  </si>
  <si>
    <t>EspíritoSanto(ES)</t>
  </si>
  <si>
    <t>Goiás(GO)</t>
  </si>
  <si>
    <t>Maranhão(MA)</t>
  </si>
  <si>
    <t>MatoGrosso(MT)</t>
  </si>
  <si>
    <t>MatoGrossodoSul(MS)</t>
  </si>
  <si>
    <t>MinasGerais(MG)</t>
  </si>
  <si>
    <t>Pará(PA)</t>
  </si>
  <si>
    <t>Paraíba(PB)</t>
  </si>
  <si>
    <t>Paraná(PR)</t>
  </si>
  <si>
    <t>Pernambuco(PE)</t>
  </si>
  <si>
    <t>Piauí(PI)</t>
  </si>
  <si>
    <t>RiodeJaneiro(RJ)</t>
  </si>
  <si>
    <t>RioGrandedoNorte(RN)</t>
  </si>
  <si>
    <t>RioGrandedoSul(RS)</t>
  </si>
  <si>
    <t>Rondônia(RO)</t>
  </si>
  <si>
    <t>Roraima(RR)</t>
  </si>
  <si>
    <t>SantaCatarina(SC)</t>
  </si>
  <si>
    <t>SãoPaulo(SP)</t>
  </si>
  <si>
    <t>Sergipe(SE)</t>
  </si>
  <si>
    <t>Tocantins(TO).</t>
  </si>
  <si>
    <t>ESTADOS</t>
  </si>
  <si>
    <t>BANCOS</t>
  </si>
  <si>
    <t>preencha as partes indicadas com suas informações de rendimento</t>
  </si>
  <si>
    <t>preencha as partes indicadas com suas informações de deduções aprovadas pelo governo, e não com a suas despesas pessoais habituais.</t>
  </si>
  <si>
    <t>TOTAL ANO PASSADO</t>
  </si>
  <si>
    <t>TOTAL ANO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</si>
</sst>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\ #,##0.00"/>
    <numFmt numFmtId="165" formatCode="00000"/>
    <numFmt numFmtId="166" formatCode="\(00\)\ 0000\ 0000"/>
    <numFmt numFmtId="167" formatCode="000\.000\.000\-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  <font>
      <sz val="11"/>
      <color rgb="FF1F1F1F"/>
      <name val="Segoe UI Light"/>
      <family val="2"/>
    </font>
    <font>
      <b/>
      <sz val="8"/>
      <color theme="0"/>
      <name val="Segoe UI Light"/>
      <family val="2"/>
    </font>
    <font>
      <sz val="8"/>
      <name val="Calibri"/>
      <family val="2"/>
      <scheme val="minor"/>
    </font>
    <font>
      <b/>
      <sz val="11"/>
      <color rgb="FF1F1F1F"/>
      <name val="Segoe UI Light"/>
      <family val="2"/>
    </font>
    <font>
      <b/>
      <sz val="14"/>
      <color theme="0"/>
      <name val="Segoe UI Light"/>
      <family val="2"/>
    </font>
    <font>
      <b/>
      <sz val="11"/>
      <color theme="1"/>
      <name val="Segoe UI Light"/>
      <family val="2"/>
    </font>
    <font>
      <sz val="11"/>
      <color theme="1"/>
      <name val="Segoe UI Light"/>
      <family val="2"/>
    </font>
    <font>
      <i/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1"/>
      <color rgb="FFFFFFFF"/>
      <name val="Segoe UI Light"/>
      <family val="2"/>
    </font>
    <font>
      <sz val="8"/>
      <color rgb="FF969DFF"/>
      <name val="Segoe UI Light"/>
      <family val="2"/>
    </font>
    <font>
      <sz val="8"/>
      <color rgb="FFFFFFFF"/>
      <name val="Segoe UI Light"/>
      <family val="2"/>
    </font>
    <font>
      <b/>
      <sz val="13.5"/>
      <color rgb="FF1F1F1F"/>
      <name val="Segoe UI Light"/>
      <family val="2"/>
    </font>
    <font>
      <sz val="11"/>
      <color theme="0"/>
      <name val="Segoe U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F2A286"/>
        <bgColor indexed="64"/>
      </patternFill>
    </fill>
    <fill>
      <patternFill patternType="solid">
        <fgColor rgb="FF9C0C0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621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rgb="FF5F191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rgb="FF5F1913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3" fillId="0" borderId="0"/>
  </cellStyleXfs>
  <cellXfs count="116"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0" fillId="4" borderId="0" xfId="0" applyFill="1" applyBorder="1"/>
    <xf numFmtId="0" fontId="0" fillId="8" borderId="0" xfId="0" applyFill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horizontal="right" vertical="center"/>
    </xf>
    <xf numFmtId="0" fontId="0" fillId="3" borderId="0" xfId="0" applyFill="1" applyBorder="1"/>
    <xf numFmtId="0" fontId="5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  <xf numFmtId="0" fontId="6" fillId="0" borderId="0" xfId="0" applyFont="1" applyAlignment="1">
      <alignment vertical="center" readingOrder="1"/>
    </xf>
    <xf numFmtId="0" fontId="7" fillId="0" borderId="0" xfId="0" applyFont="1" applyBorder="1" applyAlignment="1">
      <alignment vertical="center" readingOrder="1"/>
    </xf>
    <xf numFmtId="0" fontId="7" fillId="0" borderId="0" xfId="0" applyFont="1" applyFill="1" applyBorder="1" applyAlignment="1">
      <alignment vertical="center" readingOrder="1"/>
    </xf>
    <xf numFmtId="0" fontId="3" fillId="0" borderId="0" xfId="0" applyFont="1" applyFill="1"/>
    <xf numFmtId="0" fontId="0" fillId="0" borderId="0" xfId="0" applyBorder="1"/>
    <xf numFmtId="0" fontId="0" fillId="0" borderId="13" xfId="0" applyFill="1" applyBorder="1"/>
    <xf numFmtId="0" fontId="3" fillId="0" borderId="14" xfId="0" applyFont="1" applyFill="1" applyBorder="1"/>
    <xf numFmtId="0" fontId="0" fillId="0" borderId="15" xfId="0" applyBorder="1"/>
    <xf numFmtId="0" fontId="0" fillId="0" borderId="6" xfId="0" applyBorder="1"/>
    <xf numFmtId="0" fontId="2" fillId="0" borderId="12" xfId="0" applyFont="1" applyFill="1" applyBorder="1"/>
    <xf numFmtId="0" fontId="2" fillId="0" borderId="4" xfId="0" applyFont="1" applyBorder="1"/>
    <xf numFmtId="0" fontId="11" fillId="2" borderId="2" xfId="0" applyFont="1" applyFill="1" applyBorder="1"/>
    <xf numFmtId="0" fontId="12" fillId="2" borderId="2" xfId="0" applyFont="1" applyFill="1" applyBorder="1"/>
    <xf numFmtId="0" fontId="13" fillId="2" borderId="2" xfId="0" applyFont="1" applyFill="1" applyBorder="1"/>
    <xf numFmtId="0" fontId="13" fillId="2" borderId="0" xfId="0" applyFont="1" applyFill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1" xfId="0" applyFont="1" applyBorder="1"/>
    <xf numFmtId="0" fontId="13" fillId="0" borderId="1" xfId="0" applyFont="1" applyBorder="1" applyAlignment="1">
      <alignment horizontal="right" vertical="center"/>
    </xf>
    <xf numFmtId="0" fontId="14" fillId="8" borderId="0" xfId="0" applyFont="1" applyFill="1"/>
    <xf numFmtId="0" fontId="13" fillId="8" borderId="0" xfId="0" applyFont="1" applyFill="1"/>
    <xf numFmtId="0" fontId="13" fillId="0" borderId="0" xfId="0" applyFont="1" applyFill="1" applyBorder="1"/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3" fillId="2" borderId="0" xfId="0" applyFont="1" applyFill="1" applyBorder="1"/>
    <xf numFmtId="0" fontId="13" fillId="0" borderId="0" xfId="0" applyFont="1" applyAlignment="1">
      <alignment horizontal="left"/>
    </xf>
    <xf numFmtId="0" fontId="14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14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3" fillId="0" borderId="5" xfId="0" applyFont="1" applyFill="1" applyBorder="1"/>
    <xf numFmtId="164" fontId="13" fillId="0" borderId="6" xfId="1" applyNumberFormat="1" applyFont="1" applyFill="1" applyBorder="1"/>
    <xf numFmtId="0" fontId="13" fillId="0" borderId="0" xfId="0" applyFont="1" applyFill="1"/>
    <xf numFmtId="0" fontId="15" fillId="0" borderId="0" xfId="0" applyFont="1" applyFill="1" applyBorder="1" applyAlignment="1">
      <alignment horizontal="center" vertical="center"/>
    </xf>
    <xf numFmtId="164" fontId="13" fillId="0" borderId="0" xfId="1" applyNumberFormat="1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14" fillId="0" borderId="0" xfId="0" applyFont="1" applyFill="1" applyBorder="1"/>
    <xf numFmtId="0" fontId="16" fillId="0" borderId="0" xfId="0" applyFont="1" applyAlignment="1">
      <alignment vertical="center" readingOrder="1"/>
    </xf>
    <xf numFmtId="0" fontId="17" fillId="0" borderId="0" xfId="0" applyFont="1" applyAlignment="1">
      <alignment vertical="center" readingOrder="1"/>
    </xf>
    <xf numFmtId="0" fontId="13" fillId="0" borderId="0" xfId="0" applyFont="1" applyAlignment="1">
      <alignment vertical="center" readingOrder="1"/>
    </xf>
    <xf numFmtId="0" fontId="18" fillId="0" borderId="0" xfId="0" applyFont="1" applyAlignment="1">
      <alignment vertical="center" readingOrder="1"/>
    </xf>
    <xf numFmtId="0" fontId="13" fillId="0" borderId="0" xfId="0" applyFont="1" applyAlignment="1">
      <alignment horizontal="left" vertical="center" indent="2" readingOrder="1"/>
    </xf>
    <xf numFmtId="0" fontId="7" fillId="0" borderId="0" xfId="0" applyFont="1" applyAlignment="1">
      <alignment vertical="center" readingOrder="1"/>
    </xf>
    <xf numFmtId="0" fontId="19" fillId="0" borderId="0" xfId="0" applyFont="1" applyAlignment="1">
      <alignment vertical="center" readingOrder="1"/>
    </xf>
    <xf numFmtId="0" fontId="10" fillId="0" borderId="0" xfId="0" applyFont="1" applyAlignment="1">
      <alignment horizontal="left" vertical="center" indent="1" readingOrder="1"/>
    </xf>
    <xf numFmtId="0" fontId="10" fillId="0" borderId="0" xfId="0" applyFont="1" applyAlignment="1">
      <alignment vertical="center" readingOrder="1"/>
    </xf>
    <xf numFmtId="0" fontId="11" fillId="0" borderId="0" xfId="0" applyFont="1" applyFill="1" applyBorder="1"/>
    <xf numFmtId="0" fontId="12" fillId="0" borderId="0" xfId="0" applyFont="1" applyFill="1" applyBorder="1"/>
    <xf numFmtId="0" fontId="20" fillId="0" borderId="0" xfId="0" applyFont="1" applyFill="1" applyBorder="1"/>
    <xf numFmtId="164" fontId="20" fillId="0" borderId="0" xfId="0" applyNumberFormat="1" applyFont="1" applyFill="1"/>
    <xf numFmtId="0" fontId="0" fillId="0" borderId="13" xfId="0" applyBorder="1"/>
    <xf numFmtId="0" fontId="0" fillId="0" borderId="14" xfId="0" applyBorder="1"/>
    <xf numFmtId="0" fontId="15" fillId="10" borderId="0" xfId="0" applyFont="1" applyFill="1" applyBorder="1" applyAlignment="1">
      <alignment horizontal="left" vertical="center"/>
    </xf>
    <xf numFmtId="0" fontId="14" fillId="0" borderId="0" xfId="0" applyFont="1" applyFill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12" xfId="0" applyFont="1" applyBorder="1"/>
    <xf numFmtId="0" fontId="15" fillId="10" borderId="17" xfId="0" applyFont="1" applyFill="1" applyBorder="1" applyAlignment="1">
      <alignment horizontal="left" vertical="center"/>
    </xf>
    <xf numFmtId="0" fontId="14" fillId="7" borderId="18" xfId="0" applyFont="1" applyFill="1" applyBorder="1" applyAlignment="1"/>
    <xf numFmtId="0" fontId="14" fillId="0" borderId="18" xfId="0" applyFont="1" applyFill="1" applyBorder="1" applyAlignment="1"/>
    <xf numFmtId="0" fontId="11" fillId="2" borderId="2" xfId="0" applyFont="1" applyFill="1" applyBorder="1" applyAlignment="1"/>
    <xf numFmtId="0" fontId="12" fillId="0" borderId="0" xfId="0" applyFont="1"/>
    <xf numFmtId="164" fontId="13" fillId="0" borderId="0" xfId="0" applyNumberFormat="1" applyFont="1" applyFill="1" applyBorder="1"/>
    <xf numFmtId="0" fontId="13" fillId="0" borderId="0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Border="1" applyProtection="1">
      <protection locked="0"/>
    </xf>
    <xf numFmtId="14" fontId="13" fillId="0" borderId="0" xfId="0" applyNumberFormat="1" applyFont="1" applyFill="1" applyAlignment="1" applyProtection="1">
      <alignment horizontal="left" vertical="center"/>
      <protection locked="0"/>
    </xf>
    <xf numFmtId="164" fontId="13" fillId="0" borderId="0" xfId="0" applyNumberFormat="1" applyFont="1" applyFill="1" applyBorder="1" applyAlignment="1" applyProtection="1">
      <alignment horizontal="right" vertical="center"/>
      <protection locked="0"/>
    </xf>
    <xf numFmtId="0" fontId="13" fillId="0" borderId="0" xfId="0" applyFont="1" applyFill="1" applyBorder="1" applyAlignment="1" applyProtection="1">
      <alignment horizontal="left"/>
      <protection locked="0"/>
    </xf>
    <xf numFmtId="164" fontId="13" fillId="0" borderId="0" xfId="0" applyNumberFormat="1" applyFont="1" applyFill="1" applyBorder="1" applyAlignment="1" applyProtection="1">
      <alignment horizontal="left"/>
      <protection locked="0"/>
    </xf>
    <xf numFmtId="0" fontId="13" fillId="9" borderId="17" xfId="0" applyFont="1" applyFill="1" applyBorder="1" applyAlignment="1" applyProtection="1">
      <alignment horizontal="center" vertical="center"/>
      <protection locked="0"/>
    </xf>
    <xf numFmtId="0" fontId="13" fillId="9" borderId="0" xfId="0" applyFont="1" applyFill="1" applyBorder="1" applyAlignment="1" applyProtection="1">
      <alignment horizontal="left" vertical="center"/>
      <protection locked="0"/>
    </xf>
    <xf numFmtId="164" fontId="13" fillId="9" borderId="0" xfId="0" applyNumberFormat="1" applyFont="1" applyFill="1" applyBorder="1" applyAlignment="1" applyProtection="1">
      <alignment horizontal="left" vertical="center"/>
      <protection locked="0"/>
    </xf>
    <xf numFmtId="0" fontId="13" fillId="6" borderId="1" xfId="0" applyFont="1" applyFill="1" applyBorder="1" applyAlignment="1" applyProtection="1">
      <alignment horizontal="left" vertical="center"/>
      <protection locked="0"/>
    </xf>
    <xf numFmtId="0" fontId="13" fillId="6" borderId="1" xfId="0" applyFont="1" applyFill="1" applyBorder="1" applyAlignment="1" applyProtection="1">
      <alignment horizontal="left"/>
      <protection locked="0"/>
    </xf>
    <xf numFmtId="0" fontId="14" fillId="7" borderId="18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indent="13"/>
    </xf>
    <xf numFmtId="0" fontId="12" fillId="0" borderId="0" xfId="0" applyFont="1" applyFill="1" applyBorder="1" applyAlignment="1">
      <alignment horizontal="center" vertical="center" textRotation="90"/>
    </xf>
    <xf numFmtId="167" fontId="13" fillId="6" borderId="1" xfId="0" applyNumberFormat="1" applyFont="1" applyFill="1" applyBorder="1" applyAlignment="1" applyProtection="1">
      <alignment horizontal="left" vertical="center"/>
      <protection locked="0"/>
    </xf>
    <xf numFmtId="14" fontId="13" fillId="6" borderId="1" xfId="0" applyNumberFormat="1" applyFont="1" applyFill="1" applyBorder="1" applyAlignment="1" applyProtection="1">
      <alignment horizontal="left" vertical="center"/>
      <protection locked="0"/>
    </xf>
    <xf numFmtId="165" fontId="13" fillId="6" borderId="1" xfId="0" applyNumberFormat="1" applyFont="1" applyFill="1" applyBorder="1" applyAlignment="1" applyProtection="1">
      <alignment horizontal="left" vertical="center"/>
      <protection locked="0"/>
    </xf>
    <xf numFmtId="166" fontId="13" fillId="6" borderId="1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 indent="14"/>
    </xf>
    <xf numFmtId="164" fontId="13" fillId="6" borderId="16" xfId="0" applyNumberFormat="1" applyFont="1" applyFill="1" applyBorder="1" applyAlignment="1" applyProtection="1">
      <alignment horizontal="left"/>
      <protection locked="0"/>
    </xf>
    <xf numFmtId="0" fontId="12" fillId="0" borderId="0" xfId="0" applyFont="1" applyAlignment="1">
      <alignment horizontal="left" vertical="center"/>
    </xf>
    <xf numFmtId="0" fontId="7" fillId="0" borderId="16" xfId="0" applyFont="1" applyFill="1" applyBorder="1" applyAlignment="1">
      <alignment horizontal="right" vertical="center" readingOrder="1"/>
    </xf>
    <xf numFmtId="0" fontId="13" fillId="6" borderId="16" xfId="0" applyFont="1" applyFill="1" applyBorder="1" applyAlignment="1" applyProtection="1">
      <alignment horizontal="left"/>
      <protection locked="0"/>
    </xf>
    <xf numFmtId="0" fontId="13" fillId="6" borderId="16" xfId="0" applyFont="1" applyFill="1" applyBorder="1" applyAlignment="1" applyProtection="1">
      <protection locked="0"/>
    </xf>
    <xf numFmtId="0" fontId="11" fillId="2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 vertical="center" textRotation="90" wrapText="1" readingOrder="1"/>
    </xf>
    <xf numFmtId="0" fontId="8" fillId="4" borderId="10" xfId="0" applyFont="1" applyFill="1" applyBorder="1" applyAlignment="1">
      <alignment horizontal="center" vertical="center" textRotation="90" readingOrder="1"/>
    </xf>
    <xf numFmtId="0" fontId="8" fillId="4" borderId="0" xfId="0" applyFont="1" applyFill="1" applyBorder="1" applyAlignment="1">
      <alignment horizontal="center" vertical="center" textRotation="90" readingOrder="1"/>
    </xf>
    <xf numFmtId="0" fontId="8" fillId="4" borderId="11" xfId="0" applyFont="1" applyFill="1" applyBorder="1" applyAlignment="1">
      <alignment horizontal="center" vertical="center" textRotation="90" readingOrder="1"/>
    </xf>
    <xf numFmtId="0" fontId="8" fillId="4" borderId="7" xfId="0" applyFont="1" applyFill="1" applyBorder="1" applyAlignment="1">
      <alignment horizontal="center" vertical="center" textRotation="90" readingOrder="1"/>
    </xf>
    <xf numFmtId="0" fontId="8" fillId="4" borderId="8" xfId="0" applyFont="1" applyFill="1" applyBorder="1" applyAlignment="1">
      <alignment horizontal="center" vertical="center" textRotation="90" readingOrder="1"/>
    </xf>
    <xf numFmtId="0" fontId="8" fillId="4" borderId="9" xfId="0" applyFont="1" applyFill="1" applyBorder="1" applyAlignment="1">
      <alignment horizontal="center" vertical="center" textRotation="90" readingOrder="1"/>
    </xf>
    <xf numFmtId="0" fontId="8" fillId="4" borderId="11" xfId="0" applyFont="1" applyFill="1" applyBorder="1" applyAlignment="1">
      <alignment horizontal="center" vertical="center" textRotation="90" wrapText="1" readingOrder="1"/>
    </xf>
  </cellXfs>
  <cellStyles count="3">
    <cellStyle name="Moeda" xfId="1" builtinId="4"/>
    <cellStyle name="Normal" xfId="0" builtinId="0"/>
    <cellStyle name="Normal 2" xfId="2" xr:uid="{B71CA237-8EEF-4C8C-A136-71CF5DD058BA}"/>
  </cellStyles>
  <dxfs count="33">
    <dxf>
      <fill>
        <patternFill>
          <bgColor theme="7" tint="0.79998168889431442"/>
        </patternFill>
      </fill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7" tint="0.79998168889431442"/>
        </patternFill>
      </fill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left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26214"/>
      <color rgb="FFCC5912"/>
      <color rgb="FF9C0C0C"/>
      <color rgb="FFF2A286"/>
      <color rgb="FFE65237"/>
      <color rgb="FF5F1913"/>
      <color rgb="FF3C3424"/>
      <color rgb="FFF79797"/>
      <color rgb="FFF18573"/>
      <color rgb="FFF3B6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noFill/>
            </a:ln>
            <a:effectLst/>
          </c:spPr>
          <c:dPt>
            <c:idx val="0"/>
            <c:bubble3D val="0"/>
            <c:spPr>
              <a:solidFill>
                <a:srgbClr val="9C0C0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5-46AF-9CF8-A258CC13B16B}"/>
              </c:ext>
            </c:extLst>
          </c:dPt>
          <c:dPt>
            <c:idx val="1"/>
            <c:bubble3D val="0"/>
            <c:spPr>
              <a:solidFill>
                <a:srgbClr val="F2A28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5-46AF-9CF8-A258CC13B16B}"/>
              </c:ext>
            </c:extLst>
          </c:dPt>
          <c:dPt>
            <c:idx val="2"/>
            <c:bubble3D val="0"/>
            <c:spPr>
              <a:solidFill>
                <a:srgbClr val="E6523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15-46AF-9CF8-A258CC13B16B}"/>
              </c:ext>
            </c:extLst>
          </c:dPt>
          <c:dPt>
            <c:idx val="3"/>
            <c:bubble3D val="0"/>
            <c:spPr>
              <a:solidFill>
                <a:srgbClr val="5F191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115-46AF-9CF8-A258CC13B16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F8EA729-8ED3-40EF-864E-962E5FF59E76}" type="CELLRANGE">
                      <a:rPr lang="pt-BR"/>
                      <a:pPr/>
                      <a:t>[INTERVALODACÉLULA]</a:t>
                    </a:fld>
                    <a:r>
                      <a:rPr lang="pt-BR" baseline="0"/>
                      <a:t>; </a:t>
                    </a:r>
                    <a:fld id="{71BD4421-BFA9-4121-8C7D-A97D41B949A9}" type="VALUE">
                      <a:rPr lang="pt-BR" baseline="0"/>
                      <a:pPr/>
                      <a:t>[VALOR]</a:t>
                    </a:fld>
                    <a:endParaRPr lang="pt-BR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115-46AF-9CF8-A258CC13B1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9753AC-3411-4B6C-AA21-F09CE023D6A1}" type="CELLRANGE">
                      <a:rPr lang="pt-BR"/>
                      <a:pPr/>
                      <a:t>[INTERVALODACÉLULA]</a:t>
                    </a:fld>
                    <a:r>
                      <a:rPr lang="pt-BR" baseline="0"/>
                      <a:t>; </a:t>
                    </a:r>
                    <a:fld id="{64810DF3-201D-4EA3-92D3-BC241F6F03D3}" type="VALUE">
                      <a:rPr lang="pt-BR" baseline="0"/>
                      <a:pPr/>
                      <a:t>[VALOR]</a:t>
                    </a:fld>
                    <a:endParaRPr lang="pt-BR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115-46AF-9CF8-A258CC13B1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C2FEF2-97BC-40AE-8F3E-729EA5C4B26F}" type="CELLRANGE">
                      <a:rPr lang="pt-BR"/>
                      <a:pPr/>
                      <a:t>[INTERVALODACÉLULA]</a:t>
                    </a:fld>
                    <a:r>
                      <a:rPr lang="pt-BR" baseline="0"/>
                      <a:t>; </a:t>
                    </a:r>
                    <a:fld id="{2F52A106-54B5-40D1-952D-411962967342}" type="VALUE">
                      <a:rPr lang="pt-BR" baseline="0"/>
                      <a:pPr/>
                      <a:t>[VALOR]</a:t>
                    </a:fld>
                    <a:endParaRPr lang="pt-BR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115-46AF-9CF8-A258CC13B1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EC3106-0137-4C26-9422-9EF18338B33B}" type="CELLRANGE">
                      <a:rPr lang="pt-BR"/>
                      <a:pPr/>
                      <a:t>[INTERVALODACÉLULA]</a:t>
                    </a:fld>
                    <a:r>
                      <a:rPr lang="pt-BR" baseline="0"/>
                      <a:t>; </a:t>
                    </a:r>
                    <a:fld id="{7788FF33-86E5-47C0-B045-E5D7A202BE29}" type="VALUE">
                      <a:rPr lang="pt-BR" baseline="0"/>
                      <a:pPr/>
                      <a:t>[VALOR]</a:t>
                    </a:fld>
                    <a:endParaRPr lang="pt-BR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115-46AF-9CF8-A258CC13B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(Movimentações!$P$7,Movimentações!$P$11,Movimentações!$P$15,Movimentações!$P$19)</c:f>
              <c:numCache>
                <c:formatCode>"R$"\ #,##0.00</c:formatCode>
                <c:ptCount val="4"/>
                <c:pt idx="0">
                  <c:v>100</c:v>
                </c:pt>
                <c:pt idx="1">
                  <c:v>15</c:v>
                </c:pt>
                <c:pt idx="2">
                  <c:v>15</c:v>
                </c:pt>
                <c:pt idx="3">
                  <c:v>27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(Movimentações!$O$6,Movimentações!$O$10,Movimentações!$O$14,Movimentações!$O$18)</c15:f>
                <c15:dlblRangeCache>
                  <c:ptCount val="4"/>
                  <c:pt idx="0">
                    <c:v>TRIBUTAVEIS</c:v>
                  </c:pt>
                  <c:pt idx="1">
                    <c:v>ISENTO</c:v>
                  </c:pt>
                  <c:pt idx="2">
                    <c:v>EXCLUSIVO</c:v>
                  </c:pt>
                  <c:pt idx="3">
                    <c:v>OUTROS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115-46AF-9CF8-A258CC13B16B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9C0C0C"/>
            </a:solidFill>
          </c:spPr>
          <c:dPt>
            <c:idx val="0"/>
            <c:bubble3D val="0"/>
            <c:spPr>
              <a:solidFill>
                <a:srgbClr val="E65237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71-4046-8B8F-456F4EF12D4E}"/>
              </c:ext>
            </c:extLst>
          </c:dPt>
          <c:dPt>
            <c:idx val="1"/>
            <c:bubble3D val="0"/>
            <c:spPr>
              <a:solidFill>
                <a:srgbClr val="9C0C0C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71-4046-8B8F-456F4EF12D4E}"/>
              </c:ext>
            </c:extLst>
          </c:dPt>
          <c:dPt>
            <c:idx val="2"/>
            <c:bubble3D val="0"/>
            <c:spPr>
              <a:solidFill>
                <a:srgbClr val="F2A28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71-4046-8B8F-456F4EF12D4E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2391D9-EE9F-4AB9-BCE0-9800D0CB4CF7}" type="CELLRANGE">
                      <a:rPr lang="pt-BR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r>
                      <a:rPr lang="pt-BR" baseline="0"/>
                      <a:t> </a:t>
                    </a:r>
                    <a:fld id="{A06754DE-736C-414C-8937-417AB7E5998D}" type="VALUE">
                      <a:rPr lang="pt-BR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71-4046-8B8F-456F4EF12D4E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B1AB22-1034-42A4-85FC-97EA99475431}" type="CELLRANGE">
                      <a:rPr lang="pt-BR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r>
                      <a:rPr lang="pt-BR" baseline="0"/>
                      <a:t> </a:t>
                    </a:r>
                    <a:fld id="{F3D6D07C-999E-45E5-A6A8-AD5496A38717}" type="VALUE">
                      <a:rPr lang="pt-BR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271-4046-8B8F-456F4EF12D4E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027C7F-9FDD-477A-84E0-AC8C9B2215C1}" type="CELLRANGE">
                      <a:rPr lang="pt-BR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[INTERVALODACÉLULA]</a:t>
                    </a:fld>
                    <a:r>
                      <a:rPr lang="pt-BR" baseline="0"/>
                      <a:t> </a:t>
                    </a:r>
                    <a:fld id="{281E69C9-8A43-485F-83D4-459B417359FB}" type="VALUE">
                      <a:rPr lang="pt-BR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pt-BR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271-4046-8B8F-456F4EF12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(Movimentações!$P$30,Movimentações!$P$34,Movimentações!$P$38)</c:f>
              <c:numCache>
                <c:formatCode>"R$"\ #,##0.00</c:formatCode>
                <c:ptCount val="3"/>
                <c:pt idx="0">
                  <c:v>27</c:v>
                </c:pt>
                <c:pt idx="1">
                  <c:v>100</c:v>
                </c:pt>
                <c:pt idx="2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(Movimentações!$O$29,Movimentações!$O$33,Movimentações!$O$37)</c15:f>
                <c15:dlblRangeCache>
                  <c:ptCount val="3"/>
                  <c:pt idx="0">
                    <c:v>DEDUTIVEL</c:v>
                  </c:pt>
                  <c:pt idx="1">
                    <c:v>INCENTIVADO</c:v>
                  </c:pt>
                  <c:pt idx="2">
                    <c:v>OUTROS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271-4046-8B8F-456F4EF12D4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osu&#233;-david-john-mauricio-astuhuaman-93bb31375/" TargetMode="External"/><Relationship Id="rId3" Type="http://schemas.microsoft.com/office/2007/relationships/hdphoto" Target="../media/hdphoto1.wdp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Perfil!A1"/><Relationship Id="rId6" Type="http://schemas.openxmlformats.org/officeDocument/2006/relationships/hyperlink" Target="#D_BC!A1"/><Relationship Id="rId5" Type="http://schemas.openxmlformats.org/officeDocument/2006/relationships/hyperlink" Target="#PT_DV!A1"/><Relationship Id="rId10" Type="http://schemas.microsoft.com/office/2007/relationships/hdphoto" Target="../media/hdphoto2.wdp"/><Relationship Id="rId4" Type="http://schemas.openxmlformats.org/officeDocument/2006/relationships/hyperlink" Target="#Movimenta&#231;&#245;es!A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_BC!A1"/><Relationship Id="rId3" Type="http://schemas.openxmlformats.org/officeDocument/2006/relationships/hyperlink" Target="#Perfil!A1"/><Relationship Id="rId7" Type="http://schemas.microsoft.com/office/2007/relationships/hdphoto" Target="../media/hdphoto1.wdp"/><Relationship Id="rId12" Type="http://schemas.microsoft.com/office/2007/relationships/hdphoto" Target="../media/hdphoto2.wdp"/><Relationship Id="rId2" Type="http://schemas.openxmlformats.org/officeDocument/2006/relationships/hyperlink" Target="#PT_DV!A1"/><Relationship Id="rId1" Type="http://schemas.openxmlformats.org/officeDocument/2006/relationships/hyperlink" Target="#Movimenta&#231;&#245;es!A1"/><Relationship Id="rId6" Type="http://schemas.openxmlformats.org/officeDocument/2006/relationships/image" Target="../media/image1.png"/><Relationship Id="rId11" Type="http://schemas.openxmlformats.org/officeDocument/2006/relationships/image" Target="../media/image3.png"/><Relationship Id="rId5" Type="http://schemas.openxmlformats.org/officeDocument/2006/relationships/chart" Target="../charts/chart2.xml"/><Relationship Id="rId10" Type="http://schemas.openxmlformats.org/officeDocument/2006/relationships/hyperlink" Target="https://www.linkedin.com/in/josu&#233;-david-john-mauricio-astuhuaman-93bb31375/" TargetMode="External"/><Relationship Id="rId4" Type="http://schemas.openxmlformats.org/officeDocument/2006/relationships/chart" Target="../charts/chart1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hyperlink" Target="https://www.linkedin.com/in/josu&#233;-david-john-mauricio-astuhuaman-93bb31375/" TargetMode="External"/><Relationship Id="rId2" Type="http://schemas.openxmlformats.org/officeDocument/2006/relationships/hyperlink" Target="#Perfil!A1"/><Relationship Id="rId1" Type="http://schemas.openxmlformats.org/officeDocument/2006/relationships/hyperlink" Target="#Movimenta&#231;&#245;es!A1"/><Relationship Id="rId6" Type="http://schemas.openxmlformats.org/officeDocument/2006/relationships/image" Target="../media/image2.png"/><Relationship Id="rId5" Type="http://schemas.openxmlformats.org/officeDocument/2006/relationships/hyperlink" Target="#D_BC!A1"/><Relationship Id="rId4" Type="http://schemas.microsoft.com/office/2007/relationships/hdphoto" Target="../media/hdphoto1.wdp"/><Relationship Id="rId9" Type="http://schemas.microsoft.com/office/2007/relationships/hdphoto" Target="../media/hdphoto2.wd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josu&#233;-david-john-mauricio-astuhuaman-93bb31375/" TargetMode="External"/><Relationship Id="rId3" Type="http://schemas.openxmlformats.org/officeDocument/2006/relationships/hyperlink" Target="#Perfil!A1"/><Relationship Id="rId7" Type="http://schemas.openxmlformats.org/officeDocument/2006/relationships/image" Target="../media/image2.png"/><Relationship Id="rId2" Type="http://schemas.openxmlformats.org/officeDocument/2006/relationships/hyperlink" Target="#PT_DV!A1"/><Relationship Id="rId1" Type="http://schemas.openxmlformats.org/officeDocument/2006/relationships/hyperlink" Target="#Movimenta&#231;&#245;es!A1"/><Relationship Id="rId6" Type="http://schemas.openxmlformats.org/officeDocument/2006/relationships/hyperlink" Target="#D_BC!A1"/><Relationship Id="rId5" Type="http://schemas.microsoft.com/office/2007/relationships/hdphoto" Target="../media/hdphoto1.wdp"/><Relationship Id="rId10" Type="http://schemas.microsoft.com/office/2007/relationships/hdphoto" Target="../media/hdphoto2.wdp"/><Relationship Id="rId4" Type="http://schemas.openxmlformats.org/officeDocument/2006/relationships/image" Target="../media/image1.pn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2385060</xdr:colOff>
      <xdr:row>6</xdr:row>
      <xdr:rowOff>68580</xdr:rowOff>
    </xdr:to>
    <xdr:grpSp>
      <xdr:nvGrpSpPr>
        <xdr:cNvPr id="2" name="Agrup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A19DE-3462-71EB-CD2B-196C0C4F1B9B}"/>
            </a:ext>
          </a:extLst>
        </xdr:cNvPr>
        <xdr:cNvGrpSpPr/>
      </xdr:nvGrpSpPr>
      <xdr:grpSpPr>
        <a:xfrm>
          <a:off x="0" y="0"/>
          <a:ext cx="2385060" cy="1310640"/>
          <a:chOff x="0" y="0"/>
          <a:chExt cx="2385060" cy="131064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94A37AF6-F1E6-777A-60C1-3D3FE66B998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2353" t="13647" r="24118" b="13725"/>
          <a:stretch/>
        </xdr:blipFill>
        <xdr:spPr>
          <a:xfrm>
            <a:off x="0" y="0"/>
            <a:ext cx="1392831" cy="1181100"/>
          </a:xfrm>
          <a:prstGeom prst="rect">
            <a:avLst/>
          </a:prstGeom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FB1139F3-DFC5-E474-D0FC-CD93133093BB}"/>
              </a:ext>
            </a:extLst>
          </xdr:cNvPr>
          <xdr:cNvSpPr txBox="1"/>
        </xdr:nvSpPr>
        <xdr:spPr>
          <a:xfrm>
            <a:off x="601980" y="731520"/>
            <a:ext cx="1783080" cy="579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 b="1">
                <a:gradFill flip="none" rotWithShape="1">
                  <a:gsLst>
                    <a:gs pos="37000">
                      <a:schemeClr val="accent2">
                        <a:lumMod val="75000"/>
                      </a:schemeClr>
                    </a:gs>
                    <a:gs pos="63000">
                      <a:schemeClr val="accent4">
                        <a:lumMod val="58000"/>
                        <a:lumOff val="42000"/>
                      </a:schemeClr>
                    </a:gs>
                  </a:gsLst>
                  <a:lin ang="2700000" scaled="1"/>
                  <a:tileRect/>
                </a:gradFill>
                <a:latin typeface="Arial" panose="020B0604020202020204" pitchFamily="34" charset="0"/>
                <a:cs typeface="Arial" panose="020B0604020202020204" pitchFamily="34" charset="0"/>
              </a:rPr>
              <a:t>LOOKUPP</a:t>
            </a:r>
          </a:p>
        </xdr:txBody>
      </xdr:sp>
    </xdr:grpSp>
    <xdr:clientData/>
  </xdr:twoCellAnchor>
  <xdr:twoCellAnchor editAs="absolute">
    <xdr:from>
      <xdr:col>0</xdr:col>
      <xdr:colOff>201930</xdr:colOff>
      <xdr:row>11</xdr:row>
      <xdr:rowOff>106680</xdr:rowOff>
    </xdr:from>
    <xdr:to>
      <xdr:col>0</xdr:col>
      <xdr:colOff>2183130</xdr:colOff>
      <xdr:row>12</xdr:row>
      <xdr:rowOff>236220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EA7849-528A-4C67-AA59-17B86BDB33FB}"/>
            </a:ext>
          </a:extLst>
        </xdr:cNvPr>
        <xdr:cNvSpPr/>
      </xdr:nvSpPr>
      <xdr:spPr>
        <a:xfrm>
          <a:off x="201930" y="256794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MOVIMENTAÇÔES</a:t>
          </a:r>
        </a:p>
      </xdr:txBody>
    </xdr:sp>
    <xdr:clientData/>
  </xdr:twoCellAnchor>
  <xdr:twoCellAnchor editAs="absolute">
    <xdr:from>
      <xdr:col>0</xdr:col>
      <xdr:colOff>201930</xdr:colOff>
      <xdr:row>14</xdr:row>
      <xdr:rowOff>30480</xdr:rowOff>
    </xdr:from>
    <xdr:to>
      <xdr:col>0</xdr:col>
      <xdr:colOff>2183130</xdr:colOff>
      <xdr:row>15</xdr:row>
      <xdr:rowOff>160020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402603-FA5C-41F7-BAAB-C4B21C7D08AA}"/>
            </a:ext>
          </a:extLst>
        </xdr:cNvPr>
        <xdr:cNvSpPr/>
      </xdr:nvSpPr>
      <xdr:spPr>
        <a:xfrm>
          <a:off x="201930" y="322326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PATRIMONIOS/DIVIDAS</a:t>
          </a:r>
        </a:p>
      </xdr:txBody>
    </xdr:sp>
    <xdr:clientData/>
  </xdr:twoCellAnchor>
  <xdr:twoCellAnchor editAs="absolute">
    <xdr:from>
      <xdr:col>0</xdr:col>
      <xdr:colOff>201930</xdr:colOff>
      <xdr:row>8</xdr:row>
      <xdr:rowOff>182880</xdr:rowOff>
    </xdr:from>
    <xdr:to>
      <xdr:col>0</xdr:col>
      <xdr:colOff>2183130</xdr:colOff>
      <xdr:row>10</xdr:row>
      <xdr:rowOff>68580</xdr:rowOff>
    </xdr:to>
    <xdr:sp macro="" textlink="">
      <xdr:nvSpPr>
        <xdr:cNvPr id="9" name="Retângulo: Cantos Arredondado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2B942-4108-46BE-AF55-0B57186BB9F3}"/>
            </a:ext>
          </a:extLst>
        </xdr:cNvPr>
        <xdr:cNvSpPr/>
      </xdr:nvSpPr>
      <xdr:spPr>
        <a:xfrm>
          <a:off x="201930" y="191262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PERFIL</a:t>
          </a:r>
        </a:p>
      </xdr:txBody>
    </xdr:sp>
    <xdr:clientData/>
  </xdr:twoCellAnchor>
  <xdr:twoCellAnchor editAs="absolute">
    <xdr:from>
      <xdr:col>0</xdr:col>
      <xdr:colOff>0</xdr:colOff>
      <xdr:row>6</xdr:row>
      <xdr:rowOff>15240</xdr:rowOff>
    </xdr:from>
    <xdr:to>
      <xdr:col>0</xdr:col>
      <xdr:colOff>2385060</xdr:colOff>
      <xdr:row>7</xdr:row>
      <xdr:rowOff>22860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F723B5F1-3EEC-5DEF-F4AA-DD69DB55152A}"/>
            </a:ext>
          </a:extLst>
        </xdr:cNvPr>
        <xdr:cNvSpPr txBox="1"/>
      </xdr:nvSpPr>
      <xdr:spPr>
        <a:xfrm>
          <a:off x="0" y="1257300"/>
          <a:ext cx="23850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ENTREGA DOCUMENTOS FISCAIS</a:t>
          </a:r>
        </a:p>
      </xdr:txBody>
    </xdr:sp>
    <xdr:clientData/>
  </xdr:twoCellAnchor>
  <xdr:twoCellAnchor editAs="absolute">
    <xdr:from>
      <xdr:col>0</xdr:col>
      <xdr:colOff>201930</xdr:colOff>
      <xdr:row>16</xdr:row>
      <xdr:rowOff>150311</xdr:rowOff>
    </xdr:from>
    <xdr:to>
      <xdr:col>0</xdr:col>
      <xdr:colOff>745039</xdr:colOff>
      <xdr:row>18</xdr:row>
      <xdr:rowOff>205740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F7DEA2-200A-A826-AFAA-0FF5AFF52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3830771"/>
          <a:ext cx="543109" cy="543109"/>
        </a:xfrm>
        <a:prstGeom prst="rect">
          <a:avLst/>
        </a:prstGeom>
      </xdr:spPr>
    </xdr:pic>
    <xdr:clientData/>
  </xdr:twoCellAnchor>
  <xdr:twoCellAnchor editAs="absolute">
    <xdr:from>
      <xdr:col>0</xdr:col>
      <xdr:colOff>1583390</xdr:colOff>
      <xdr:row>16</xdr:row>
      <xdr:rowOff>133097</xdr:rowOff>
    </xdr:from>
    <xdr:to>
      <xdr:col>0</xdr:col>
      <xdr:colOff>2183130</xdr:colOff>
      <xdr:row>19</xdr:row>
      <xdr:rowOff>1793</xdr:rowOff>
    </xdr:to>
    <xdr:pic>
      <xdr:nvPicPr>
        <xdr:cNvPr id="14" name="Imagem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1B779E-3A66-FA4D-3454-F81678CEC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7778" b="81389" l="9160" r="44733">
                      <a14:foregroundMark x1="32519" y1="26667" x2="32519" y2="26667"/>
                      <a14:foregroundMark x1="18015" y1="29722" x2="18015" y2="29722"/>
                      <a14:foregroundMark x1="19084" y1="47778" x2="19084" y2="47778"/>
                      <a14:foregroundMark x1="43511" y1="21389" x2="43511" y2="21389"/>
                      <a14:foregroundMark x1="43053" y1="18056" x2="15420" y2="18056"/>
                      <a14:foregroundMark x1="15420" y1="18056" x2="9924" y2="61111"/>
                      <a14:foregroundMark x1="9924" y1="61111" x2="33588" y2="80833"/>
                      <a14:foregroundMark x1="33588" y1="80833" x2="44885" y2="31389"/>
                      <a14:foregroundMark x1="44885" y1="31389" x2="17099" y2="23333"/>
                      <a14:foregroundMark x1="17099" y1="23333" x2="15115" y2="68056"/>
                      <a14:foregroundMark x1="15115" y1="68056" x2="39389" y2="70556"/>
                      <a14:foregroundMark x1="39389" y1="70556" x2="39237" y2="73333"/>
                      <a14:foregroundMark x1="15267" y1="18056" x2="9924" y2="61667"/>
                      <a14:foregroundMark x1="9924" y1="61667" x2="31145" y2="82500"/>
                      <a14:foregroundMark x1="31145" y1="82500" x2="46412" y2="46389"/>
                      <a14:foregroundMark x1="46412" y1="46389" x2="20611" y2="17778"/>
                      <a14:foregroundMark x1="20611" y1="17778" x2="9924" y2="22778"/>
                      <a14:foregroundMark x1="23511" y1="45833" x2="38779" y2="53611"/>
                      <a14:foregroundMark x1="36641" y1="46667" x2="36031" y2="47222"/>
                      <a14:foregroundMark x1="26565" y1="48889" x2="24733" y2="73333"/>
                      <a14:foregroundMark x1="30382" y1="46111" x2="38473" y2="51389"/>
                      <a14:foregroundMark x1="35878" y1="38333" x2="25191" y2="31944"/>
                      <a14:foregroundMark x1="30687" y1="38056" x2="23053" y2="33611"/>
                      <a14:foregroundMark x1="23511" y1="37222" x2="20916" y2="45000"/>
                      <a14:foregroundMark x1="21069" y1="45278" x2="20916" y2="69167"/>
                      <a14:foregroundMark x1="28550" y1="80278" x2="11298" y2="46944"/>
                      <a14:foregroundMark x1="11298" y1="46944" x2="11603" y2="25000"/>
                      <a14:foregroundMark x1="10382" y1="63611" x2="28397" y2="81389"/>
                      <a14:foregroundMark x1="27481" y1="81111" x2="14351" y2="80556"/>
                      <a14:foregroundMark x1="20458" y1="77500" x2="12366" y2="79722"/>
                      <a14:foregroundMark x1="12366" y1="79722" x2="10382" y2="63611"/>
                      <a14:foregroundMark x1="9160" y1="71389" x2="20916" y2="8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87" t="13276" r="52289" b="11152"/>
        <a:stretch/>
      </xdr:blipFill>
      <xdr:spPr>
        <a:xfrm>
          <a:off x="1583390" y="3813557"/>
          <a:ext cx="599740" cy="600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201930</xdr:colOff>
      <xdr:row>11</xdr:row>
      <xdr:rowOff>38792</xdr:rowOff>
    </xdr:from>
    <xdr:to>
      <xdr:col>0</xdr:col>
      <xdr:colOff>2183130</xdr:colOff>
      <xdr:row>12</xdr:row>
      <xdr:rowOff>162791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CFDBB-4EF1-487D-B5AD-0B1C523FD78C}"/>
            </a:ext>
          </a:extLst>
        </xdr:cNvPr>
        <xdr:cNvSpPr/>
      </xdr:nvSpPr>
      <xdr:spPr>
        <a:xfrm>
          <a:off x="201930" y="256794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MOVIMENTAÇÕES</a:t>
          </a:r>
        </a:p>
      </xdr:txBody>
    </xdr:sp>
    <xdr:clientData/>
  </xdr:twoCellAnchor>
  <xdr:twoCellAnchor editAs="absolute">
    <xdr:from>
      <xdr:col>0</xdr:col>
      <xdr:colOff>201930</xdr:colOff>
      <xdr:row>13</xdr:row>
      <xdr:rowOff>200891</xdr:rowOff>
    </xdr:from>
    <xdr:to>
      <xdr:col>0</xdr:col>
      <xdr:colOff>2183130</xdr:colOff>
      <xdr:row>15</xdr:row>
      <xdr:rowOff>92133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5A0D91-1CBB-4E79-BDB8-7906A5C0B4FC}"/>
            </a:ext>
          </a:extLst>
        </xdr:cNvPr>
        <xdr:cNvSpPr/>
      </xdr:nvSpPr>
      <xdr:spPr>
        <a:xfrm>
          <a:off x="201930" y="322326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PATRIMONIOS/DIVIDAS</a:t>
          </a:r>
        </a:p>
      </xdr:txBody>
    </xdr:sp>
    <xdr:clientData/>
  </xdr:twoCellAnchor>
  <xdr:twoCellAnchor editAs="absolute">
    <xdr:from>
      <xdr:col>0</xdr:col>
      <xdr:colOff>201930</xdr:colOff>
      <xdr:row>8</xdr:row>
      <xdr:rowOff>114993</xdr:rowOff>
    </xdr:from>
    <xdr:to>
      <xdr:col>0</xdr:col>
      <xdr:colOff>2183130</xdr:colOff>
      <xdr:row>10</xdr:row>
      <xdr:rowOff>693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CA015E-55E3-4D86-9F07-2FDFB37D45CC}"/>
            </a:ext>
          </a:extLst>
        </xdr:cNvPr>
        <xdr:cNvSpPr/>
      </xdr:nvSpPr>
      <xdr:spPr>
        <a:xfrm>
          <a:off x="201930" y="191262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PERFIL</a:t>
          </a:r>
        </a:p>
      </xdr:txBody>
    </xdr:sp>
    <xdr:clientData/>
  </xdr:twoCellAnchor>
  <xdr:twoCellAnchor>
    <xdr:from>
      <xdr:col>15</xdr:col>
      <xdr:colOff>718458</xdr:colOff>
      <xdr:row>3</xdr:row>
      <xdr:rowOff>152400</xdr:rowOff>
    </xdr:from>
    <xdr:to>
      <xdr:col>24</xdr:col>
      <xdr:colOff>54429</xdr:colOff>
      <xdr:row>20</xdr:row>
      <xdr:rowOff>119746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2AA51A6-09C4-C650-F0CE-6FC3F3108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733302</xdr:colOff>
      <xdr:row>29</xdr:row>
      <xdr:rowOff>-1</xdr:rowOff>
    </xdr:from>
    <xdr:to>
      <xdr:col>24</xdr:col>
      <xdr:colOff>74221</xdr:colOff>
      <xdr:row>43</xdr:row>
      <xdr:rowOff>197925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09C3D87-407B-4129-BF32-0EC24BE5D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2385060</xdr:colOff>
      <xdr:row>5</xdr:row>
      <xdr:rowOff>236220</xdr:rowOff>
    </xdr:to>
    <xdr:grpSp>
      <xdr:nvGrpSpPr>
        <xdr:cNvPr id="54" name="Agrupar 5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935A02-A651-4BC7-AC71-593984B133BC}"/>
            </a:ext>
          </a:extLst>
        </xdr:cNvPr>
        <xdr:cNvGrpSpPr/>
      </xdr:nvGrpSpPr>
      <xdr:grpSpPr>
        <a:xfrm>
          <a:off x="0" y="0"/>
          <a:ext cx="2385060" cy="1310640"/>
          <a:chOff x="0" y="0"/>
          <a:chExt cx="2385060" cy="1310640"/>
        </a:xfrm>
      </xdr:grpSpPr>
      <xdr:pic>
        <xdr:nvPicPr>
          <xdr:cNvPr id="55" name="Imagem 54">
            <a:extLst>
              <a:ext uri="{FF2B5EF4-FFF2-40B4-BE49-F238E27FC236}">
                <a16:creationId xmlns:a16="http://schemas.microsoft.com/office/drawing/2014/main" id="{2DBFD439-23E3-7D35-22C6-C1A4445932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2353" t="13647" r="24118" b="13725"/>
          <a:stretch/>
        </xdr:blipFill>
        <xdr:spPr>
          <a:xfrm>
            <a:off x="0" y="0"/>
            <a:ext cx="1392831" cy="1181100"/>
          </a:xfrm>
          <a:prstGeom prst="rect">
            <a:avLst/>
          </a:prstGeom>
        </xdr:spPr>
      </xdr:pic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8AC60D42-B8C7-C13A-1727-A9D6BFBB41F6}"/>
              </a:ext>
            </a:extLst>
          </xdr:cNvPr>
          <xdr:cNvSpPr txBox="1"/>
        </xdr:nvSpPr>
        <xdr:spPr>
          <a:xfrm>
            <a:off x="601980" y="731520"/>
            <a:ext cx="1783080" cy="579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 b="1">
                <a:gradFill flip="none" rotWithShape="1">
                  <a:gsLst>
                    <a:gs pos="37000">
                      <a:schemeClr val="accent2">
                        <a:lumMod val="75000"/>
                      </a:schemeClr>
                    </a:gs>
                    <a:gs pos="63000">
                      <a:schemeClr val="accent4">
                        <a:lumMod val="58000"/>
                        <a:lumOff val="42000"/>
                      </a:schemeClr>
                    </a:gs>
                  </a:gsLst>
                  <a:lin ang="2700000" scaled="1"/>
                  <a:tileRect/>
                </a:gradFill>
                <a:latin typeface="Arial" panose="020B0604020202020204" pitchFamily="34" charset="0"/>
                <a:cs typeface="Arial" panose="020B0604020202020204" pitchFamily="34" charset="0"/>
              </a:rPr>
              <a:t>LOOKUPP</a:t>
            </a:r>
          </a:p>
        </xdr:txBody>
      </xdr:sp>
    </xdr:grpSp>
    <xdr:clientData/>
  </xdr:twoCellAnchor>
  <xdr:twoCellAnchor editAs="absolute">
    <xdr:from>
      <xdr:col>0</xdr:col>
      <xdr:colOff>0</xdr:colOff>
      <xdr:row>5</xdr:row>
      <xdr:rowOff>182880</xdr:rowOff>
    </xdr:from>
    <xdr:to>
      <xdr:col>0</xdr:col>
      <xdr:colOff>2385060</xdr:colOff>
      <xdr:row>6</xdr:row>
      <xdr:rowOff>190500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1BA14FA4-DD48-4302-A682-9F9E43833023}"/>
            </a:ext>
          </a:extLst>
        </xdr:cNvPr>
        <xdr:cNvSpPr txBox="1"/>
      </xdr:nvSpPr>
      <xdr:spPr>
        <a:xfrm>
          <a:off x="0" y="1257300"/>
          <a:ext cx="23850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ENTREGA DOCUMENTOS FISCAIS</a:t>
          </a:r>
        </a:p>
      </xdr:txBody>
    </xdr:sp>
    <xdr:clientData/>
  </xdr:twoCellAnchor>
  <xdr:twoCellAnchor editAs="absolute">
    <xdr:from>
      <xdr:col>0</xdr:col>
      <xdr:colOff>201930</xdr:colOff>
      <xdr:row>16</xdr:row>
      <xdr:rowOff>74111</xdr:rowOff>
    </xdr:from>
    <xdr:to>
      <xdr:col>0</xdr:col>
      <xdr:colOff>745039</xdr:colOff>
      <xdr:row>18</xdr:row>
      <xdr:rowOff>129540</xdr:rowOff>
    </xdr:to>
    <xdr:pic>
      <xdr:nvPicPr>
        <xdr:cNvPr id="58" name="Imagem 5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E6E3D2-4069-4099-992A-DED47B86A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3830771"/>
          <a:ext cx="543109" cy="543109"/>
        </a:xfrm>
        <a:prstGeom prst="rect">
          <a:avLst/>
        </a:prstGeom>
      </xdr:spPr>
    </xdr:pic>
    <xdr:clientData/>
  </xdr:twoCellAnchor>
  <xdr:twoCellAnchor editAs="absolute">
    <xdr:from>
      <xdr:col>0</xdr:col>
      <xdr:colOff>1583390</xdr:colOff>
      <xdr:row>16</xdr:row>
      <xdr:rowOff>56897</xdr:rowOff>
    </xdr:from>
    <xdr:to>
      <xdr:col>0</xdr:col>
      <xdr:colOff>2183130</xdr:colOff>
      <xdr:row>18</xdr:row>
      <xdr:rowOff>169433</xdr:rowOff>
    </xdr:to>
    <xdr:pic>
      <xdr:nvPicPr>
        <xdr:cNvPr id="59" name="Imagem 5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1E0D0C0-B909-4A4F-B7D7-9EF61A815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7778" b="81389" l="9160" r="44733">
                      <a14:foregroundMark x1="32519" y1="26667" x2="32519" y2="26667"/>
                      <a14:foregroundMark x1="18015" y1="29722" x2="18015" y2="29722"/>
                      <a14:foregroundMark x1="19084" y1="47778" x2="19084" y2="47778"/>
                      <a14:foregroundMark x1="43511" y1="21389" x2="43511" y2="21389"/>
                      <a14:foregroundMark x1="43053" y1="18056" x2="15420" y2="18056"/>
                      <a14:foregroundMark x1="15420" y1="18056" x2="9924" y2="61111"/>
                      <a14:foregroundMark x1="9924" y1="61111" x2="33588" y2="80833"/>
                      <a14:foregroundMark x1="33588" y1="80833" x2="44885" y2="31389"/>
                      <a14:foregroundMark x1="44885" y1="31389" x2="17099" y2="23333"/>
                      <a14:foregroundMark x1="17099" y1="23333" x2="15115" y2="68056"/>
                      <a14:foregroundMark x1="15115" y1="68056" x2="39389" y2="70556"/>
                      <a14:foregroundMark x1="39389" y1="70556" x2="39237" y2="73333"/>
                      <a14:foregroundMark x1="15267" y1="18056" x2="9924" y2="61667"/>
                      <a14:foregroundMark x1="9924" y1="61667" x2="31145" y2="82500"/>
                      <a14:foregroundMark x1="31145" y1="82500" x2="46412" y2="46389"/>
                      <a14:foregroundMark x1="46412" y1="46389" x2="20611" y2="17778"/>
                      <a14:foregroundMark x1="20611" y1="17778" x2="9924" y2="22778"/>
                      <a14:foregroundMark x1="23511" y1="45833" x2="38779" y2="53611"/>
                      <a14:foregroundMark x1="36641" y1="46667" x2="36031" y2="47222"/>
                      <a14:foregroundMark x1="26565" y1="48889" x2="24733" y2="73333"/>
                      <a14:foregroundMark x1="30382" y1="46111" x2="38473" y2="51389"/>
                      <a14:foregroundMark x1="35878" y1="38333" x2="25191" y2="31944"/>
                      <a14:foregroundMark x1="30687" y1="38056" x2="23053" y2="33611"/>
                      <a14:foregroundMark x1="23511" y1="37222" x2="20916" y2="45000"/>
                      <a14:foregroundMark x1="21069" y1="45278" x2="20916" y2="69167"/>
                      <a14:foregroundMark x1="28550" y1="80278" x2="11298" y2="46944"/>
                      <a14:foregroundMark x1="11298" y1="46944" x2="11603" y2="25000"/>
                      <a14:foregroundMark x1="10382" y1="63611" x2="28397" y2="81389"/>
                      <a14:foregroundMark x1="27481" y1="81111" x2="14351" y2="80556"/>
                      <a14:foregroundMark x1="20458" y1="77500" x2="12366" y2="79722"/>
                      <a14:foregroundMark x1="12366" y1="79722" x2="10382" y2="63611"/>
                      <a14:foregroundMark x1="9160" y1="71389" x2="20916" y2="8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87" t="13276" r="52289" b="11152"/>
        <a:stretch/>
      </xdr:blipFill>
      <xdr:spPr>
        <a:xfrm>
          <a:off x="1583390" y="3813557"/>
          <a:ext cx="599740" cy="600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201930</xdr:colOff>
      <xdr:row>11</xdr:row>
      <xdr:rowOff>121920</xdr:rowOff>
    </xdr:from>
    <xdr:to>
      <xdr:col>0</xdr:col>
      <xdr:colOff>2183130</xdr:colOff>
      <xdr:row>13</xdr:row>
      <xdr:rowOff>7620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6441DA-0A23-4EF4-AFC2-764DDB7247A8}"/>
            </a:ext>
          </a:extLst>
        </xdr:cNvPr>
        <xdr:cNvSpPr/>
      </xdr:nvSpPr>
      <xdr:spPr>
        <a:xfrm>
          <a:off x="201930" y="256794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MOVIMENTAÇÕES</a:t>
          </a:r>
        </a:p>
      </xdr:txBody>
    </xdr:sp>
    <xdr:clientData/>
  </xdr:twoCellAnchor>
  <xdr:twoCellAnchor editAs="absolute">
    <xdr:from>
      <xdr:col>0</xdr:col>
      <xdr:colOff>201930</xdr:colOff>
      <xdr:row>14</xdr:row>
      <xdr:rowOff>45720</xdr:rowOff>
    </xdr:from>
    <xdr:to>
      <xdr:col>0</xdr:col>
      <xdr:colOff>2183130</xdr:colOff>
      <xdr:row>15</xdr:row>
      <xdr:rowOff>175260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BBBD9DC2-52B4-4C9E-A443-3C58D4DB16D4}"/>
            </a:ext>
          </a:extLst>
        </xdr:cNvPr>
        <xdr:cNvSpPr/>
      </xdr:nvSpPr>
      <xdr:spPr>
        <a:xfrm>
          <a:off x="201930" y="322326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PATRIMONIOS/DIVIDAS</a:t>
          </a:r>
        </a:p>
      </xdr:txBody>
    </xdr:sp>
    <xdr:clientData/>
  </xdr:twoCellAnchor>
  <xdr:twoCellAnchor editAs="absolute">
    <xdr:from>
      <xdr:col>0</xdr:col>
      <xdr:colOff>201930</xdr:colOff>
      <xdr:row>8</xdr:row>
      <xdr:rowOff>198120</xdr:rowOff>
    </xdr:from>
    <xdr:to>
      <xdr:col>0</xdr:col>
      <xdr:colOff>2183130</xdr:colOff>
      <xdr:row>10</xdr:row>
      <xdr:rowOff>83820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9ED6A7-5F3A-435F-A332-350A9FE28600}"/>
            </a:ext>
          </a:extLst>
        </xdr:cNvPr>
        <xdr:cNvSpPr/>
      </xdr:nvSpPr>
      <xdr:spPr>
        <a:xfrm>
          <a:off x="201930" y="191262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PERFIL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2385060</xdr:colOff>
      <xdr:row>6</xdr:row>
      <xdr:rowOff>83820</xdr:rowOff>
    </xdr:to>
    <xdr:grpSp>
      <xdr:nvGrpSpPr>
        <xdr:cNvPr id="22" name="Agrupar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8E854F-B7E7-48DD-B64E-4D05AE22E1BD}"/>
            </a:ext>
          </a:extLst>
        </xdr:cNvPr>
        <xdr:cNvGrpSpPr/>
      </xdr:nvGrpSpPr>
      <xdr:grpSpPr>
        <a:xfrm>
          <a:off x="0" y="0"/>
          <a:ext cx="2385060" cy="1310640"/>
          <a:chOff x="0" y="0"/>
          <a:chExt cx="2385060" cy="1310640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36ABCCA8-81CB-A2AB-7E65-A3FE7540B8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2353" t="13647" r="24118" b="13725"/>
          <a:stretch/>
        </xdr:blipFill>
        <xdr:spPr>
          <a:xfrm>
            <a:off x="0" y="0"/>
            <a:ext cx="1392831" cy="1181100"/>
          </a:xfrm>
          <a:prstGeom prst="rect">
            <a:avLst/>
          </a:prstGeom>
        </xdr:spPr>
      </xdr:pic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2A4CF842-D6BA-ED7F-8924-5BEAFFEEABA9}"/>
              </a:ext>
            </a:extLst>
          </xdr:cNvPr>
          <xdr:cNvSpPr txBox="1"/>
        </xdr:nvSpPr>
        <xdr:spPr>
          <a:xfrm>
            <a:off x="601980" y="731520"/>
            <a:ext cx="1783080" cy="579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 b="1">
                <a:gradFill flip="none" rotWithShape="1">
                  <a:gsLst>
                    <a:gs pos="37000">
                      <a:schemeClr val="accent2">
                        <a:lumMod val="75000"/>
                      </a:schemeClr>
                    </a:gs>
                    <a:gs pos="63000">
                      <a:schemeClr val="accent4">
                        <a:lumMod val="58000"/>
                        <a:lumOff val="42000"/>
                      </a:schemeClr>
                    </a:gs>
                  </a:gsLst>
                  <a:lin ang="2700000" scaled="1"/>
                  <a:tileRect/>
                </a:gradFill>
                <a:latin typeface="Arial" panose="020B0604020202020204" pitchFamily="34" charset="0"/>
                <a:cs typeface="Arial" panose="020B0604020202020204" pitchFamily="34" charset="0"/>
              </a:rPr>
              <a:t>LOOKUPP</a:t>
            </a:r>
          </a:p>
        </xdr:txBody>
      </xdr:sp>
    </xdr:grpSp>
    <xdr:clientData/>
  </xdr:twoCellAnchor>
  <xdr:twoCellAnchor editAs="absolute">
    <xdr:from>
      <xdr:col>0</xdr:col>
      <xdr:colOff>0</xdr:colOff>
      <xdr:row>6</xdr:row>
      <xdr:rowOff>30480</xdr:rowOff>
    </xdr:from>
    <xdr:to>
      <xdr:col>0</xdr:col>
      <xdr:colOff>2385060</xdr:colOff>
      <xdr:row>7</xdr:row>
      <xdr:rowOff>38100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E95363E0-E18D-49BA-9FF2-01C4A6CED234}"/>
            </a:ext>
          </a:extLst>
        </xdr:cNvPr>
        <xdr:cNvSpPr txBox="1"/>
      </xdr:nvSpPr>
      <xdr:spPr>
        <a:xfrm>
          <a:off x="0" y="1257300"/>
          <a:ext cx="23850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ENTREGA DOCUMENTOS FISCAIS</a:t>
          </a:r>
        </a:p>
      </xdr:txBody>
    </xdr:sp>
    <xdr:clientData/>
  </xdr:twoCellAnchor>
  <xdr:twoCellAnchor editAs="absolute">
    <xdr:from>
      <xdr:col>0</xdr:col>
      <xdr:colOff>201930</xdr:colOff>
      <xdr:row>16</xdr:row>
      <xdr:rowOff>165551</xdr:rowOff>
    </xdr:from>
    <xdr:to>
      <xdr:col>0</xdr:col>
      <xdr:colOff>745039</xdr:colOff>
      <xdr:row>18</xdr:row>
      <xdr:rowOff>220980</xdr:rowOff>
    </xdr:to>
    <xdr:pic>
      <xdr:nvPicPr>
        <xdr:cNvPr id="26" name="Imagem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89A1DC-E96B-4B0F-81F0-402A5FD08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3830771"/>
          <a:ext cx="543109" cy="543109"/>
        </a:xfrm>
        <a:prstGeom prst="rect">
          <a:avLst/>
        </a:prstGeom>
      </xdr:spPr>
    </xdr:pic>
    <xdr:clientData/>
  </xdr:twoCellAnchor>
  <xdr:twoCellAnchor editAs="absolute">
    <xdr:from>
      <xdr:col>0</xdr:col>
      <xdr:colOff>1583390</xdr:colOff>
      <xdr:row>16</xdr:row>
      <xdr:rowOff>148337</xdr:rowOff>
    </xdr:from>
    <xdr:to>
      <xdr:col>0</xdr:col>
      <xdr:colOff>2183130</xdr:colOff>
      <xdr:row>19</xdr:row>
      <xdr:rowOff>17033</xdr:rowOff>
    </xdr:to>
    <xdr:pic>
      <xdr:nvPicPr>
        <xdr:cNvPr id="27" name="Imagem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741824-3DB6-4496-9752-11DB93514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7778" b="81389" l="9160" r="44733">
                      <a14:foregroundMark x1="32519" y1="26667" x2="32519" y2="26667"/>
                      <a14:foregroundMark x1="18015" y1="29722" x2="18015" y2="29722"/>
                      <a14:foregroundMark x1="19084" y1="47778" x2="19084" y2="47778"/>
                      <a14:foregroundMark x1="43511" y1="21389" x2="43511" y2="21389"/>
                      <a14:foregroundMark x1="43053" y1="18056" x2="15420" y2="18056"/>
                      <a14:foregroundMark x1="15420" y1="18056" x2="9924" y2="61111"/>
                      <a14:foregroundMark x1="9924" y1="61111" x2="33588" y2="80833"/>
                      <a14:foregroundMark x1="33588" y1="80833" x2="44885" y2="31389"/>
                      <a14:foregroundMark x1="44885" y1="31389" x2="17099" y2="23333"/>
                      <a14:foregroundMark x1="17099" y1="23333" x2="15115" y2="68056"/>
                      <a14:foregroundMark x1="15115" y1="68056" x2="39389" y2="70556"/>
                      <a14:foregroundMark x1="39389" y1="70556" x2="39237" y2="73333"/>
                      <a14:foregroundMark x1="15267" y1="18056" x2="9924" y2="61667"/>
                      <a14:foregroundMark x1="9924" y1="61667" x2="31145" y2="82500"/>
                      <a14:foregroundMark x1="31145" y1="82500" x2="46412" y2="46389"/>
                      <a14:foregroundMark x1="46412" y1="46389" x2="20611" y2="17778"/>
                      <a14:foregroundMark x1="20611" y1="17778" x2="9924" y2="22778"/>
                      <a14:foregroundMark x1="23511" y1="45833" x2="38779" y2="53611"/>
                      <a14:foregroundMark x1="36641" y1="46667" x2="36031" y2="47222"/>
                      <a14:foregroundMark x1="26565" y1="48889" x2="24733" y2="73333"/>
                      <a14:foregroundMark x1="30382" y1="46111" x2="38473" y2="51389"/>
                      <a14:foregroundMark x1="35878" y1="38333" x2="25191" y2="31944"/>
                      <a14:foregroundMark x1="30687" y1="38056" x2="23053" y2="33611"/>
                      <a14:foregroundMark x1="23511" y1="37222" x2="20916" y2="45000"/>
                      <a14:foregroundMark x1="21069" y1="45278" x2="20916" y2="69167"/>
                      <a14:foregroundMark x1="28550" y1="80278" x2="11298" y2="46944"/>
                      <a14:foregroundMark x1="11298" y1="46944" x2="11603" y2="25000"/>
                      <a14:foregroundMark x1="10382" y1="63611" x2="28397" y2="81389"/>
                      <a14:foregroundMark x1="27481" y1="81111" x2="14351" y2="80556"/>
                      <a14:foregroundMark x1="20458" y1="77500" x2="12366" y2="79722"/>
                      <a14:foregroundMark x1="12366" y1="79722" x2="10382" y2="63611"/>
                      <a14:foregroundMark x1="9160" y1="71389" x2="20916" y2="8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87" t="13276" r="52289" b="11152"/>
        <a:stretch/>
      </xdr:blipFill>
      <xdr:spPr>
        <a:xfrm>
          <a:off x="1583390" y="3813557"/>
          <a:ext cx="599740" cy="600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201930</xdr:colOff>
      <xdr:row>11</xdr:row>
      <xdr:rowOff>121920</xdr:rowOff>
    </xdr:from>
    <xdr:to>
      <xdr:col>0</xdr:col>
      <xdr:colOff>2183130</xdr:colOff>
      <xdr:row>13</xdr:row>
      <xdr:rowOff>7620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CFF5D0-171E-4545-9636-5CB132CC038F}"/>
            </a:ext>
          </a:extLst>
        </xdr:cNvPr>
        <xdr:cNvSpPr/>
      </xdr:nvSpPr>
      <xdr:spPr>
        <a:xfrm>
          <a:off x="201930" y="256794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MOVIMENTAÇÕES</a:t>
          </a:r>
        </a:p>
      </xdr:txBody>
    </xdr:sp>
    <xdr:clientData/>
  </xdr:twoCellAnchor>
  <xdr:twoCellAnchor editAs="absolute">
    <xdr:from>
      <xdr:col>0</xdr:col>
      <xdr:colOff>201930</xdr:colOff>
      <xdr:row>14</xdr:row>
      <xdr:rowOff>45720</xdr:rowOff>
    </xdr:from>
    <xdr:to>
      <xdr:col>0</xdr:col>
      <xdr:colOff>2183130</xdr:colOff>
      <xdr:row>15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8129FC-D4A4-4937-83DF-D259A14B6DC0}"/>
            </a:ext>
          </a:extLst>
        </xdr:cNvPr>
        <xdr:cNvSpPr/>
      </xdr:nvSpPr>
      <xdr:spPr>
        <a:xfrm>
          <a:off x="201930" y="322326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PATRIMONIOS/DIVIDAS</a:t>
          </a:r>
        </a:p>
      </xdr:txBody>
    </xdr:sp>
    <xdr:clientData/>
  </xdr:twoCellAnchor>
  <xdr:twoCellAnchor editAs="absolute">
    <xdr:from>
      <xdr:col>0</xdr:col>
      <xdr:colOff>201930</xdr:colOff>
      <xdr:row>8</xdr:row>
      <xdr:rowOff>198120</xdr:rowOff>
    </xdr:from>
    <xdr:to>
      <xdr:col>0</xdr:col>
      <xdr:colOff>2183130</xdr:colOff>
      <xdr:row>10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2F1982-2536-41E2-BE5D-0F3C1F2939CE}"/>
            </a:ext>
          </a:extLst>
        </xdr:cNvPr>
        <xdr:cNvSpPr/>
      </xdr:nvSpPr>
      <xdr:spPr>
        <a:xfrm>
          <a:off x="201930" y="1912620"/>
          <a:ext cx="1981200" cy="373380"/>
        </a:xfrm>
        <a:prstGeom prst="roundRect">
          <a:avLst/>
        </a:prstGeom>
        <a:solidFill>
          <a:srgbClr val="5F191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PERFIL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2385060</xdr:colOff>
      <xdr:row>6</xdr:row>
      <xdr:rowOff>83820</xdr:rowOff>
    </xdr:to>
    <xdr:grpSp>
      <xdr:nvGrpSpPr>
        <xdr:cNvPr id="22" name="Agrupar 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5D381D-FA1E-4DF6-8A2B-A06E7629467F}"/>
            </a:ext>
          </a:extLst>
        </xdr:cNvPr>
        <xdr:cNvGrpSpPr/>
      </xdr:nvGrpSpPr>
      <xdr:grpSpPr>
        <a:xfrm>
          <a:off x="0" y="0"/>
          <a:ext cx="2385060" cy="1310640"/>
          <a:chOff x="0" y="0"/>
          <a:chExt cx="2385060" cy="1310640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97441B88-AFCA-0916-BB23-479850AB27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2353" t="13647" r="24118" b="13725"/>
          <a:stretch/>
        </xdr:blipFill>
        <xdr:spPr>
          <a:xfrm>
            <a:off x="0" y="0"/>
            <a:ext cx="1392831" cy="1181100"/>
          </a:xfrm>
          <a:prstGeom prst="rect">
            <a:avLst/>
          </a:prstGeom>
        </xdr:spPr>
      </xdr:pic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34A8EEC6-0F51-FFCD-572E-50D3662A12F2}"/>
              </a:ext>
            </a:extLst>
          </xdr:cNvPr>
          <xdr:cNvSpPr txBox="1"/>
        </xdr:nvSpPr>
        <xdr:spPr>
          <a:xfrm>
            <a:off x="601980" y="731520"/>
            <a:ext cx="1783080" cy="5791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 b="1">
                <a:gradFill flip="none" rotWithShape="1">
                  <a:gsLst>
                    <a:gs pos="37000">
                      <a:schemeClr val="accent2">
                        <a:lumMod val="75000"/>
                      </a:schemeClr>
                    </a:gs>
                    <a:gs pos="63000">
                      <a:schemeClr val="accent4">
                        <a:lumMod val="58000"/>
                        <a:lumOff val="42000"/>
                      </a:schemeClr>
                    </a:gs>
                  </a:gsLst>
                  <a:lin ang="2700000" scaled="1"/>
                  <a:tileRect/>
                </a:gradFill>
                <a:latin typeface="Arial" panose="020B0604020202020204" pitchFamily="34" charset="0"/>
                <a:cs typeface="Arial" panose="020B0604020202020204" pitchFamily="34" charset="0"/>
              </a:rPr>
              <a:t>LOOKUPP</a:t>
            </a:r>
          </a:p>
        </xdr:txBody>
      </xdr:sp>
    </xdr:grpSp>
    <xdr:clientData/>
  </xdr:twoCellAnchor>
  <xdr:twoCellAnchor editAs="absolute">
    <xdr:from>
      <xdr:col>0</xdr:col>
      <xdr:colOff>0</xdr:colOff>
      <xdr:row>6</xdr:row>
      <xdr:rowOff>30480</xdr:rowOff>
    </xdr:from>
    <xdr:to>
      <xdr:col>0</xdr:col>
      <xdr:colOff>2385060</xdr:colOff>
      <xdr:row>7</xdr:row>
      <xdr:rowOff>38100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BF0014-B691-49EE-AE4B-AEC7A4739204}"/>
            </a:ext>
          </a:extLst>
        </xdr:cNvPr>
        <xdr:cNvSpPr txBox="1"/>
      </xdr:nvSpPr>
      <xdr:spPr>
        <a:xfrm>
          <a:off x="0" y="1257300"/>
          <a:ext cx="23850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ENTREGA DOCUMENTOS FISCAIS</a:t>
          </a:r>
        </a:p>
      </xdr:txBody>
    </xdr:sp>
    <xdr:clientData/>
  </xdr:twoCellAnchor>
  <xdr:twoCellAnchor editAs="absolute">
    <xdr:from>
      <xdr:col>0</xdr:col>
      <xdr:colOff>201930</xdr:colOff>
      <xdr:row>16</xdr:row>
      <xdr:rowOff>165551</xdr:rowOff>
    </xdr:from>
    <xdr:to>
      <xdr:col>0</xdr:col>
      <xdr:colOff>745039</xdr:colOff>
      <xdr:row>18</xdr:row>
      <xdr:rowOff>220980</xdr:rowOff>
    </xdr:to>
    <xdr:pic>
      <xdr:nvPicPr>
        <xdr:cNvPr id="26" name="Imagem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90B9758-197C-4EDB-827C-11586877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3830771"/>
          <a:ext cx="543109" cy="543109"/>
        </a:xfrm>
        <a:prstGeom prst="rect">
          <a:avLst/>
        </a:prstGeom>
      </xdr:spPr>
    </xdr:pic>
    <xdr:clientData/>
  </xdr:twoCellAnchor>
  <xdr:twoCellAnchor editAs="absolute">
    <xdr:from>
      <xdr:col>0</xdr:col>
      <xdr:colOff>1583390</xdr:colOff>
      <xdr:row>16</xdr:row>
      <xdr:rowOff>148337</xdr:rowOff>
    </xdr:from>
    <xdr:to>
      <xdr:col>0</xdr:col>
      <xdr:colOff>2183130</xdr:colOff>
      <xdr:row>19</xdr:row>
      <xdr:rowOff>17033</xdr:rowOff>
    </xdr:to>
    <xdr:pic>
      <xdr:nvPicPr>
        <xdr:cNvPr id="27" name="Imagem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657480-6F45-4C35-89A0-B67F668A3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7778" b="81389" l="9160" r="44733">
                      <a14:foregroundMark x1="32519" y1="26667" x2="32519" y2="26667"/>
                      <a14:foregroundMark x1="18015" y1="29722" x2="18015" y2="29722"/>
                      <a14:foregroundMark x1="19084" y1="47778" x2="19084" y2="47778"/>
                      <a14:foregroundMark x1="43511" y1="21389" x2="43511" y2="21389"/>
                      <a14:foregroundMark x1="43053" y1="18056" x2="15420" y2="18056"/>
                      <a14:foregroundMark x1="15420" y1="18056" x2="9924" y2="61111"/>
                      <a14:foregroundMark x1="9924" y1="61111" x2="33588" y2="80833"/>
                      <a14:foregroundMark x1="33588" y1="80833" x2="44885" y2="31389"/>
                      <a14:foregroundMark x1="44885" y1="31389" x2="17099" y2="23333"/>
                      <a14:foregroundMark x1="17099" y1="23333" x2="15115" y2="68056"/>
                      <a14:foregroundMark x1="15115" y1="68056" x2="39389" y2="70556"/>
                      <a14:foregroundMark x1="39389" y1="70556" x2="39237" y2="73333"/>
                      <a14:foregroundMark x1="15267" y1="18056" x2="9924" y2="61667"/>
                      <a14:foregroundMark x1="9924" y1="61667" x2="31145" y2="82500"/>
                      <a14:foregroundMark x1="31145" y1="82500" x2="46412" y2="46389"/>
                      <a14:foregroundMark x1="46412" y1="46389" x2="20611" y2="17778"/>
                      <a14:foregroundMark x1="20611" y1="17778" x2="9924" y2="22778"/>
                      <a14:foregroundMark x1="23511" y1="45833" x2="38779" y2="53611"/>
                      <a14:foregroundMark x1="36641" y1="46667" x2="36031" y2="47222"/>
                      <a14:foregroundMark x1="26565" y1="48889" x2="24733" y2="73333"/>
                      <a14:foregroundMark x1="30382" y1="46111" x2="38473" y2="51389"/>
                      <a14:foregroundMark x1="35878" y1="38333" x2="25191" y2="31944"/>
                      <a14:foregroundMark x1="30687" y1="38056" x2="23053" y2="33611"/>
                      <a14:foregroundMark x1="23511" y1="37222" x2="20916" y2="45000"/>
                      <a14:foregroundMark x1="21069" y1="45278" x2="20916" y2="69167"/>
                      <a14:foregroundMark x1="28550" y1="80278" x2="11298" y2="46944"/>
                      <a14:foregroundMark x1="11298" y1="46944" x2="11603" y2="25000"/>
                      <a14:foregroundMark x1="10382" y1="63611" x2="28397" y2="81389"/>
                      <a14:foregroundMark x1="27481" y1="81111" x2="14351" y2="80556"/>
                      <a14:foregroundMark x1="20458" y1="77500" x2="12366" y2="79722"/>
                      <a14:foregroundMark x1="12366" y1="79722" x2="10382" y2="63611"/>
                      <a14:foregroundMark x1="9160" y1="71389" x2="20916" y2="8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87" t="13276" r="52289" b="11152"/>
        <a:stretch/>
      </xdr:blipFill>
      <xdr:spPr>
        <a:xfrm>
          <a:off x="1583390" y="3813557"/>
          <a:ext cx="599740" cy="600216"/>
        </a:xfrm>
        <a:prstGeom prst="rect">
          <a:avLst/>
        </a:prstGeom>
      </xdr:spPr>
    </xdr:pic>
    <xdr:clientData/>
  </xdr:twoCellAnchor>
  <xdr:twoCellAnchor>
    <xdr:from>
      <xdr:col>16</xdr:col>
      <xdr:colOff>525780</xdr:colOff>
      <xdr:row>4</xdr:row>
      <xdr:rowOff>30480</xdr:rowOff>
    </xdr:from>
    <xdr:to>
      <xdr:col>19</xdr:col>
      <xdr:colOff>300895</xdr:colOff>
      <xdr:row>7</xdr:row>
      <xdr:rowOff>38100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2B7DC17-7CD1-559A-6BAC-5C1E13FEFF4E}"/>
            </a:ext>
          </a:extLst>
        </xdr:cNvPr>
        <xdr:cNvGrpSpPr/>
      </xdr:nvGrpSpPr>
      <xdr:grpSpPr>
        <a:xfrm>
          <a:off x="11727180" y="876300"/>
          <a:ext cx="1832515" cy="632460"/>
          <a:chOff x="11727180" y="876300"/>
          <a:chExt cx="1832515" cy="632460"/>
        </a:xfrm>
      </xdr:grpSpPr>
      <xdr:sp macro="" textlink="$S$9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12E040A4-37E2-DA5D-2D80-DF13E75E4B04}"/>
              </a:ext>
            </a:extLst>
          </xdr:cNvPr>
          <xdr:cNvSpPr/>
        </xdr:nvSpPr>
        <xdr:spPr>
          <a:xfrm>
            <a:off x="11727180" y="876300"/>
            <a:ext cx="1821180" cy="63246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4038896-76CD-439E-B93C-138435CBD3B9}" type="TxLink">
              <a:rPr lang="en-US" sz="1600" b="1" i="0" u="none" strike="noStrike">
                <a:solidFill>
                  <a:srgbClr val="000000"/>
                </a:solidFill>
                <a:latin typeface="Segoe UI Light"/>
                <a:cs typeface="Segoe UI Light"/>
              </a:rPr>
              <a:pPr algn="ctr"/>
              <a:t>R$ 162.000,00</a:t>
            </a:fld>
            <a:endParaRPr lang="en-US" sz="1600" b="1"/>
          </a:p>
        </xdr:txBody>
      </xdr:sp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1FCB8E27-D1DF-9C10-EC6E-08B8F1FD8ACB}"/>
              </a:ext>
            </a:extLst>
          </xdr:cNvPr>
          <xdr:cNvSpPr/>
        </xdr:nvSpPr>
        <xdr:spPr>
          <a:xfrm>
            <a:off x="11727180" y="891540"/>
            <a:ext cx="1832515" cy="236220"/>
          </a:xfrm>
          <a:prstGeom prst="round2SameRect">
            <a:avLst/>
          </a:prstGeom>
          <a:solidFill>
            <a:srgbClr val="9C0C0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TOTAL</a:t>
            </a:r>
            <a:r>
              <a:rPr lang="pt-BR" sz="1200" b="1" baseline="0"/>
              <a:t> BANCARIO</a:t>
            </a:r>
            <a:endParaRPr lang="pt-BR" sz="1200" b="1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96CBBC-1680-43C7-8550-140AFDF183F9}" name="Tabela26" displayName="Tabela26" ref="D6:M23" totalsRowShown="0" headerRowDxfId="32" dataDxfId="31">
  <autoFilter ref="D6:M23" xr:uid="{2E96CBBC-1680-43C7-8550-140AFDF183F9}"/>
  <tableColumns count="10">
    <tableColumn id="1" xr3:uid="{A6B85BCF-861A-44D2-B204-FB933BEEE772}" name="DATA " dataDxfId="30"/>
    <tableColumn id="2" xr3:uid="{360AABE6-5E4A-4EA2-A384-B982F047140A}" name="TIPO DE RENDIMENTO" dataDxfId="29"/>
    <tableColumn id="12" xr3:uid="{FB3A2E7B-2E2E-4C1F-874F-7626EDD9E5EC}" name="DESCRIÇÂO" dataDxfId="28"/>
    <tableColumn id="8" xr3:uid="{F87FB974-0463-4391-B7D7-FD5ADB846360}" name="CNPJ/CPF" dataDxfId="27"/>
    <tableColumn id="10" xr3:uid="{572A1501-CADD-4434-81AC-5B32CB8CB054}" name="VALOR" dataDxfId="26"/>
    <tableColumn id="5" xr3:uid="{0E6488C4-DFD1-447E-9180-FFFA27F61B6E}" name="DATA" dataDxfId="25"/>
    <tableColumn id="6" xr3:uid="{4BDAC433-A8DB-48D9-B970-14F2B6706ABE}" name="TIPO DE RENDIMENTO3" dataDxfId="24"/>
    <tableColumn id="13" xr3:uid="{D605F314-F55E-4029-B57F-E65457634F0D}" name="DESCRIÇÂO2" dataDxfId="23"/>
    <tableColumn id="3" xr3:uid="{F4265878-81D3-48EC-B48C-2A7EA0131107}" name="CNPJ/CPF2" dataDxfId="22"/>
    <tableColumn id="4" xr3:uid="{F3939009-E632-4F4B-B062-57709E1F96FE}" name="VALOR2" dataDxfId="2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57D939-6355-4CFE-BE0D-FBCEF42BA33A}" name="Tabela268" displayName="Tabela268" ref="D29:M46" totalsRowShown="0" headerRowDxfId="20" dataDxfId="19">
  <autoFilter ref="D29:M46" xr:uid="{4C57D939-6355-4CFE-BE0D-FBCEF42BA33A}"/>
  <tableColumns count="10">
    <tableColumn id="1" xr3:uid="{AE6968EA-2C81-4C0E-8B87-34B40F85887B}" name="DATA " dataDxfId="18"/>
    <tableColumn id="2" xr3:uid="{4EEBD494-E05D-452A-806A-CCD939C1693C}" name="TIPO DE DESPESA" dataDxfId="17"/>
    <tableColumn id="12" xr3:uid="{DD539327-C296-4538-BA86-6214646728DD}" name="DESCRIÇÂO" dataDxfId="16"/>
    <tableColumn id="3" xr3:uid="{B600F6D7-C5F9-4238-A764-E1AA65C339D1}" name="BENEFICIARIO" dataDxfId="15"/>
    <tableColumn id="10" xr3:uid="{813D95FD-8B2F-4918-854D-B1BA5EAC81B5}" name="VALOR" dataDxfId="14"/>
    <tableColumn id="5" xr3:uid="{FB50F2F0-66C7-4C54-BD18-309BF3F06653}" name="DATA" dataDxfId="13"/>
    <tableColumn id="6" xr3:uid="{EF900D01-CE79-4DC6-BE17-18760042FFBF}" name="TIPO DE DESPESA2" dataDxfId="12"/>
    <tableColumn id="13" xr3:uid="{88C67B20-5332-4AB7-9831-BB154644B2B6}" name="DESCRIÇÂO2" dataDxfId="11"/>
    <tableColumn id="8" xr3:uid="{307015B2-47CB-4C94-B99C-267D52913BE0}" name="BENEFICIARIO2" dataDxfId="10"/>
    <tableColumn id="4" xr3:uid="{48237B04-03C6-4B66-8129-AEDBC2B6CD5F}" name="VALOR4" dataDxfId="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128"/>
  <sheetViews>
    <sheetView showGridLines="0" zoomScaleNormal="100" workbookViewId="0">
      <selection activeCell="M20" sqref="M20:Q20"/>
    </sheetView>
  </sheetViews>
  <sheetFormatPr defaultRowHeight="14.4"/>
  <cols>
    <col min="1" max="1" width="35" style="2" customWidth="1"/>
    <col min="2" max="2" width="0.77734375" style="4" customWidth="1"/>
    <col min="5" max="5" width="9.5546875" bestFit="1" customWidth="1"/>
    <col min="13" max="13" width="13.33203125" bestFit="1" customWidth="1"/>
  </cols>
  <sheetData>
    <row r="1" spans="1:17" s="5" customFormat="1" ht="14.4" customHeight="1">
      <c r="A1" s="2"/>
      <c r="B1" s="4"/>
    </row>
    <row r="2" spans="1:17" s="5" customFormat="1" ht="15" customHeight="1">
      <c r="A2" s="2"/>
      <c r="B2" s="4"/>
    </row>
    <row r="3" spans="1:17" s="1" customFormat="1" ht="21" thickBot="1">
      <c r="A3" s="2"/>
      <c r="B3" s="4"/>
      <c r="C3" s="94" t="s">
        <v>0</v>
      </c>
      <c r="D3" s="94"/>
      <c r="E3" s="94"/>
      <c r="F3" s="94"/>
      <c r="G3" s="94"/>
      <c r="H3" s="94"/>
      <c r="I3" s="94"/>
      <c r="J3" s="94"/>
      <c r="K3" s="94"/>
      <c r="L3" s="27"/>
      <c r="M3" s="27"/>
      <c r="N3" s="27"/>
      <c r="O3" s="27"/>
      <c r="P3" s="27"/>
      <c r="Q3" s="27"/>
    </row>
    <row r="4" spans="1:17" ht="17.399999999999999" thickTop="1">
      <c r="E4" s="93" t="s">
        <v>17</v>
      </c>
      <c r="F4" s="93"/>
      <c r="G4" s="93"/>
      <c r="H4" s="93"/>
      <c r="I4" s="93"/>
      <c r="J4" s="93"/>
      <c r="K4" s="93"/>
      <c r="L4" s="28"/>
      <c r="M4" s="28"/>
      <c r="N4" s="28"/>
      <c r="O4" s="28"/>
      <c r="P4" s="28"/>
      <c r="Q4" s="28"/>
    </row>
    <row r="5" spans="1:17" ht="19.2" customHeight="1"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 ht="10.8" customHeight="1">
      <c r="E6" s="2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1:17" ht="19.2" customHeight="1">
      <c r="A7" s="3"/>
      <c r="E7" s="29"/>
      <c r="F7" s="30"/>
      <c r="G7" s="30"/>
      <c r="H7" s="30"/>
      <c r="I7" s="30"/>
      <c r="J7" s="30"/>
      <c r="K7" s="30"/>
      <c r="L7" s="31" t="s">
        <v>4</v>
      </c>
      <c r="M7" s="91" t="s">
        <v>178</v>
      </c>
      <c r="N7" s="91"/>
      <c r="O7" s="91"/>
      <c r="P7" s="91"/>
      <c r="Q7" s="91"/>
    </row>
    <row r="8" spans="1:17" ht="19.2" customHeight="1">
      <c r="A8" s="10"/>
      <c r="E8" s="29"/>
      <c r="F8" s="30"/>
      <c r="G8" s="30"/>
      <c r="H8" s="30"/>
      <c r="I8" s="30"/>
      <c r="J8" s="30"/>
      <c r="K8" s="30"/>
      <c r="L8" s="31" t="s">
        <v>1</v>
      </c>
      <c r="M8" s="96">
        <v>123456789</v>
      </c>
      <c r="N8" s="96"/>
      <c r="O8" s="96"/>
      <c r="P8" s="96"/>
      <c r="Q8" s="96"/>
    </row>
    <row r="9" spans="1:17" ht="19.2" customHeight="1">
      <c r="E9" s="29"/>
      <c r="F9" s="30"/>
      <c r="G9" s="30"/>
      <c r="H9" s="30"/>
      <c r="I9" s="30"/>
      <c r="J9" s="30"/>
      <c r="K9" s="30"/>
      <c r="L9" s="31" t="s">
        <v>5</v>
      </c>
      <c r="M9" s="97">
        <v>38401</v>
      </c>
      <c r="N9" s="97"/>
      <c r="O9" s="97"/>
      <c r="P9" s="97"/>
      <c r="Q9" s="97"/>
    </row>
    <row r="10" spans="1:17" ht="19.2" customHeight="1">
      <c r="E10" s="29"/>
      <c r="F10" s="30"/>
      <c r="G10" s="30"/>
      <c r="H10" s="30"/>
      <c r="I10" s="30"/>
      <c r="J10" s="30"/>
      <c r="K10" s="30"/>
      <c r="L10" s="31" t="s">
        <v>6</v>
      </c>
      <c r="M10" s="91"/>
      <c r="N10" s="91"/>
      <c r="O10" s="91"/>
      <c r="P10" s="91"/>
      <c r="Q10" s="91"/>
    </row>
    <row r="11" spans="1:17" ht="19.2" customHeight="1">
      <c r="E11" s="29"/>
      <c r="F11" s="30"/>
      <c r="G11" s="30"/>
      <c r="H11" s="30"/>
      <c r="I11" s="30"/>
      <c r="J11" s="30"/>
      <c r="K11" s="30"/>
      <c r="L11" s="31" t="s">
        <v>7</v>
      </c>
      <c r="M11" s="91" t="s">
        <v>164</v>
      </c>
      <c r="N11" s="91"/>
      <c r="O11" s="91"/>
      <c r="P11" s="91"/>
      <c r="Q11" s="91"/>
    </row>
    <row r="12" spans="1:17" ht="19.2" customHeight="1">
      <c r="E12" s="29"/>
      <c r="F12" s="30"/>
      <c r="G12" s="30"/>
      <c r="H12" s="30"/>
      <c r="I12" s="30"/>
      <c r="J12" s="30"/>
      <c r="K12" s="30"/>
      <c r="L12" s="31" t="s">
        <v>8</v>
      </c>
      <c r="M12" s="91" t="s">
        <v>11</v>
      </c>
      <c r="N12" s="91"/>
      <c r="O12" s="91"/>
      <c r="P12" s="91"/>
      <c r="Q12" s="91"/>
    </row>
    <row r="13" spans="1:17" ht="19.2" customHeight="1">
      <c r="E13" s="29"/>
      <c r="F13" s="30"/>
      <c r="G13" s="30"/>
      <c r="H13" s="30"/>
      <c r="I13" s="30"/>
      <c r="J13" s="30"/>
      <c r="K13" s="30"/>
      <c r="L13" s="31" t="s">
        <v>21</v>
      </c>
      <c r="M13" s="98">
        <v>30570670</v>
      </c>
      <c r="N13" s="98"/>
      <c r="O13" s="98"/>
      <c r="P13" s="98"/>
      <c r="Q13" s="98"/>
    </row>
    <row r="14" spans="1:17" ht="19.2" customHeight="1">
      <c r="E14" s="29"/>
      <c r="F14" s="30"/>
      <c r="G14" s="30"/>
      <c r="H14" s="30"/>
      <c r="I14" s="30"/>
      <c r="J14" s="30"/>
      <c r="K14" s="30"/>
      <c r="L14" s="31" t="s">
        <v>20</v>
      </c>
      <c r="M14" s="91"/>
      <c r="N14" s="91"/>
      <c r="O14" s="91"/>
      <c r="P14" s="91"/>
      <c r="Q14" s="91"/>
    </row>
    <row r="15" spans="1:17" ht="19.2" customHeight="1">
      <c r="E15" s="29"/>
      <c r="F15" s="30"/>
      <c r="G15" s="30"/>
      <c r="H15" s="30"/>
      <c r="I15" s="30"/>
      <c r="J15" s="30"/>
      <c r="K15" s="30"/>
      <c r="L15" s="31" t="s">
        <v>13</v>
      </c>
      <c r="M15" s="91" t="s">
        <v>14</v>
      </c>
      <c r="N15" s="91"/>
      <c r="O15" s="91"/>
      <c r="P15" s="91"/>
      <c r="Q15" s="91"/>
    </row>
    <row r="16" spans="1:17" ht="19.2" customHeight="1">
      <c r="E16" s="29"/>
      <c r="F16" s="30"/>
      <c r="G16" s="30"/>
      <c r="H16" s="30"/>
      <c r="I16" s="30"/>
      <c r="J16" s="30"/>
      <c r="K16" s="30"/>
      <c r="L16" s="31" t="s">
        <v>12</v>
      </c>
      <c r="M16" s="91" t="s">
        <v>177</v>
      </c>
      <c r="N16" s="91"/>
      <c r="O16" s="91"/>
      <c r="P16" s="91"/>
      <c r="Q16" s="91"/>
    </row>
    <row r="17" spans="1:17" ht="19.2" customHeight="1">
      <c r="E17" s="29"/>
      <c r="F17" s="30"/>
      <c r="G17" s="30"/>
      <c r="H17" s="30"/>
      <c r="I17" s="30"/>
      <c r="J17" s="30"/>
      <c r="K17" s="30"/>
      <c r="L17" s="31" t="s">
        <v>9</v>
      </c>
      <c r="M17" s="99">
        <v>338876598</v>
      </c>
      <c r="N17" s="99"/>
      <c r="O17" s="99"/>
      <c r="P17" s="99"/>
      <c r="Q17" s="99"/>
    </row>
    <row r="18" spans="1:17" ht="19.2" customHeight="1">
      <c r="E18" s="29"/>
      <c r="F18" s="30"/>
      <c r="G18" s="30"/>
      <c r="H18" s="30"/>
      <c r="I18" s="30"/>
      <c r="J18" s="30"/>
      <c r="K18" s="30"/>
      <c r="L18" s="31" t="s">
        <v>3</v>
      </c>
      <c r="M18" s="91" t="s">
        <v>15</v>
      </c>
      <c r="N18" s="91"/>
      <c r="O18" s="91"/>
      <c r="P18" s="91"/>
      <c r="Q18" s="91"/>
    </row>
    <row r="19" spans="1:17" ht="19.2" customHeight="1">
      <c r="E19" s="29"/>
      <c r="F19" s="30"/>
      <c r="G19" s="30"/>
      <c r="H19" s="30"/>
      <c r="I19" s="30"/>
      <c r="J19" s="30"/>
      <c r="K19" s="30"/>
      <c r="L19" s="31" t="s">
        <v>10</v>
      </c>
      <c r="M19" s="91" t="s">
        <v>19</v>
      </c>
      <c r="N19" s="91"/>
      <c r="O19" s="91"/>
      <c r="P19" s="91"/>
      <c r="Q19" s="91"/>
    </row>
    <row r="20" spans="1:17" ht="19.2" customHeight="1">
      <c r="E20" s="28"/>
      <c r="F20" s="30"/>
      <c r="G20" s="30"/>
      <c r="H20" s="30"/>
      <c r="I20" s="30"/>
      <c r="J20" s="30"/>
      <c r="K20" s="30"/>
      <c r="L20" s="31" t="s">
        <v>16</v>
      </c>
      <c r="M20" s="92"/>
      <c r="N20" s="92"/>
      <c r="O20" s="92"/>
      <c r="P20" s="92"/>
      <c r="Q20" s="92"/>
    </row>
    <row r="21" spans="1:17" ht="19.2" customHeight="1">
      <c r="E21" s="28"/>
      <c r="F21" s="30"/>
      <c r="G21" s="30"/>
      <c r="H21" s="30"/>
      <c r="I21" s="30"/>
      <c r="J21" s="30"/>
      <c r="K21" s="30"/>
      <c r="L21" s="31" t="s">
        <v>18</v>
      </c>
      <c r="M21" s="91" t="s">
        <v>19</v>
      </c>
      <c r="N21" s="91"/>
      <c r="O21" s="91"/>
      <c r="P21" s="91"/>
      <c r="Q21" s="91"/>
    </row>
    <row r="22" spans="1:17" ht="21.6" customHeight="1">
      <c r="E22" s="28"/>
      <c r="F22" s="30"/>
      <c r="G22" s="30"/>
      <c r="H22" s="30"/>
      <c r="I22" s="30"/>
      <c r="J22" s="30"/>
      <c r="K22" s="30"/>
      <c r="L22" s="31" t="s">
        <v>22</v>
      </c>
      <c r="M22" s="91">
        <v>0</v>
      </c>
      <c r="N22" s="91"/>
      <c r="O22" s="91"/>
      <c r="P22" s="91"/>
      <c r="Q22" s="91"/>
    </row>
    <row r="23" spans="1:17" ht="16.8"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 ht="16.8"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1:17" s="1" customFormat="1" ht="21" thickBot="1">
      <c r="A25" s="2"/>
      <c r="B25" s="4"/>
      <c r="E25" s="24" t="s">
        <v>2</v>
      </c>
      <c r="F25" s="24"/>
      <c r="G25" s="24"/>
      <c r="H25" s="25"/>
      <c r="I25" s="26"/>
      <c r="J25" s="26"/>
      <c r="K25" s="26"/>
      <c r="L25" s="27"/>
      <c r="M25" s="27"/>
      <c r="N25" s="27"/>
      <c r="O25" s="27"/>
      <c r="P25" s="27"/>
      <c r="Q25" s="27"/>
    </row>
    <row r="26" spans="1:17" ht="17.399999999999999" thickTop="1">
      <c r="E26" s="72" t="str">
        <f>IF(M22&gt;0,"preencha as partes indicadas com suas informações ","")</f>
        <v/>
      </c>
      <c r="F26" s="50"/>
      <c r="G26" s="50"/>
      <c r="H26" s="50"/>
      <c r="I26" s="50"/>
      <c r="J26" s="50"/>
      <c r="K26" s="50"/>
      <c r="L26" s="28"/>
      <c r="M26" s="28"/>
      <c r="N26" s="28"/>
      <c r="O26" s="28"/>
      <c r="P26" s="28"/>
      <c r="Q26" s="28"/>
    </row>
    <row r="27" spans="1:17" ht="16.8">
      <c r="E27" s="32"/>
      <c r="F27" s="33"/>
      <c r="G27" s="33"/>
      <c r="H27" s="33"/>
      <c r="I27" s="33"/>
      <c r="J27" s="33"/>
      <c r="K27" s="33"/>
      <c r="L27" s="28"/>
      <c r="M27" s="28"/>
      <c r="N27" s="28"/>
      <c r="O27" s="28"/>
      <c r="P27" s="28"/>
      <c r="Q27" s="28"/>
    </row>
    <row r="28" spans="1:17" ht="16.8"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1:17" ht="21.6" customHeight="1">
      <c r="C29" s="8"/>
      <c r="D29" s="8"/>
      <c r="E29" s="95" t="str">
        <f>IF($M$22=1,"1º  DEPENDENTES","")</f>
        <v/>
      </c>
      <c r="F29" s="34"/>
      <c r="G29" s="34"/>
      <c r="H29" s="34"/>
      <c r="I29" s="34"/>
      <c r="J29" s="34"/>
      <c r="K29" s="34"/>
      <c r="L29" s="35" t="str">
        <f>IF(M22=1,"TIPO","")</f>
        <v/>
      </c>
      <c r="M29" s="82"/>
      <c r="N29" s="83"/>
      <c r="O29" s="83"/>
      <c r="P29" s="83"/>
      <c r="Q29" s="83"/>
    </row>
    <row r="30" spans="1:17" ht="21.6" customHeight="1">
      <c r="C30" s="8"/>
      <c r="D30" s="8"/>
      <c r="E30" s="95"/>
      <c r="F30" s="34"/>
      <c r="G30" s="34"/>
      <c r="H30" s="34"/>
      <c r="I30" s="34"/>
      <c r="J30" s="34"/>
      <c r="K30" s="34"/>
      <c r="L30" s="35" t="str">
        <f>IF($M$22=1,"GRAU DE PARENTESCO (FILHO, CÔNJUGE, PAIS, ETC.)","")</f>
        <v/>
      </c>
      <c r="M30" s="82"/>
      <c r="N30" s="83"/>
      <c r="O30" s="83"/>
      <c r="P30" s="83"/>
      <c r="Q30" s="83"/>
    </row>
    <row r="31" spans="1:17" ht="21.6" customHeight="1">
      <c r="C31" s="8"/>
      <c r="D31" s="8"/>
      <c r="E31" s="95"/>
      <c r="F31" s="34"/>
      <c r="G31" s="34"/>
      <c r="H31" s="34"/>
      <c r="I31" s="34"/>
      <c r="J31" s="34"/>
      <c r="K31" s="34"/>
      <c r="L31" s="35" t="str">
        <f>IF($M$22=1,"NOME COMPLETO","")</f>
        <v/>
      </c>
      <c r="M31" s="82"/>
      <c r="N31" s="83"/>
      <c r="O31" s="83"/>
      <c r="P31" s="83"/>
      <c r="Q31" s="83"/>
    </row>
    <row r="32" spans="1:17" ht="21.6" customHeight="1">
      <c r="C32" s="8"/>
      <c r="D32" s="8"/>
      <c r="E32" s="95"/>
      <c r="F32" s="34"/>
      <c r="G32" s="34"/>
      <c r="H32" s="34"/>
      <c r="I32" s="34"/>
      <c r="J32" s="34"/>
      <c r="K32" s="34"/>
      <c r="L32" s="35" t="str">
        <f>IF($M$22=1,"CPF (OBRIGATÓRIO PARA TODAS AS IDADES)","")</f>
        <v/>
      </c>
      <c r="M32" s="82"/>
      <c r="N32" s="83"/>
      <c r="O32" s="83"/>
      <c r="P32" s="83"/>
      <c r="Q32" s="83"/>
    </row>
    <row r="33" spans="3:17" ht="21.6" customHeight="1">
      <c r="C33" s="8"/>
      <c r="D33" s="8"/>
      <c r="E33" s="95"/>
      <c r="F33" s="34"/>
      <c r="G33" s="34"/>
      <c r="H33" s="34"/>
      <c r="I33" s="34"/>
      <c r="J33" s="34"/>
      <c r="K33" s="34"/>
      <c r="L33" s="35" t="str">
        <f>IF($M$22=1,"DATA DE NASCIMENTO","")</f>
        <v/>
      </c>
      <c r="M33" s="82"/>
      <c r="N33" s="83"/>
      <c r="O33" s="83"/>
      <c r="P33" s="83"/>
      <c r="Q33" s="83"/>
    </row>
    <row r="34" spans="3:17" ht="16.8">
      <c r="C34" s="8"/>
      <c r="D34" s="8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8"/>
      <c r="P34" s="28"/>
      <c r="Q34" s="28"/>
    </row>
    <row r="35" spans="3:17" ht="16.8">
      <c r="C35" s="8"/>
      <c r="D35" s="8"/>
      <c r="E35" s="34"/>
      <c r="F35" s="34"/>
      <c r="G35" s="34"/>
      <c r="H35" s="34"/>
      <c r="I35" s="34"/>
      <c r="J35" s="34"/>
      <c r="K35" s="34"/>
      <c r="L35" s="35"/>
      <c r="M35" s="34"/>
      <c r="N35" s="34"/>
      <c r="O35" s="28"/>
      <c r="P35" s="28"/>
      <c r="Q35" s="28"/>
    </row>
    <row r="36" spans="3:17" ht="16.8">
      <c r="C36" s="8"/>
      <c r="D36" s="8"/>
      <c r="E36" s="34"/>
      <c r="F36" s="34"/>
      <c r="G36" s="34"/>
      <c r="H36" s="34"/>
      <c r="I36" s="34"/>
      <c r="J36" s="34"/>
      <c r="K36" s="34"/>
      <c r="L36" s="35"/>
      <c r="M36" s="34"/>
      <c r="N36" s="34"/>
      <c r="O36" s="28"/>
      <c r="P36" s="28"/>
      <c r="Q36" s="28"/>
    </row>
    <row r="37" spans="3:17" ht="16.8">
      <c r="C37" s="8"/>
      <c r="D37" s="8"/>
      <c r="E37" s="34"/>
      <c r="F37" s="34"/>
      <c r="G37" s="34"/>
      <c r="H37" s="34"/>
      <c r="I37" s="34"/>
      <c r="J37" s="34"/>
      <c r="K37" s="34"/>
      <c r="L37" s="35"/>
      <c r="M37" s="34"/>
      <c r="N37" s="34"/>
      <c r="O37" s="28"/>
      <c r="P37" s="28"/>
      <c r="Q37" s="28"/>
    </row>
    <row r="38" spans="3:17" ht="16.8">
      <c r="C38" s="8"/>
      <c r="D38" s="8"/>
      <c r="E38" s="34"/>
      <c r="F38" s="34"/>
      <c r="G38" s="34"/>
      <c r="H38" s="34"/>
      <c r="I38" s="34"/>
      <c r="J38" s="34"/>
      <c r="K38" s="34"/>
      <c r="L38" s="35"/>
      <c r="M38" s="34"/>
      <c r="N38" s="34"/>
      <c r="O38" s="28"/>
      <c r="P38" s="28"/>
      <c r="Q38" s="28"/>
    </row>
    <row r="39" spans="3:17" ht="16.8">
      <c r="C39" s="8"/>
      <c r="D39" s="8"/>
      <c r="E39" s="34"/>
      <c r="F39" s="34"/>
      <c r="G39" s="34"/>
      <c r="H39" s="34"/>
      <c r="I39" s="34"/>
      <c r="J39" s="34"/>
      <c r="K39" s="34"/>
      <c r="L39" s="35"/>
      <c r="M39" s="34"/>
      <c r="N39" s="34"/>
      <c r="O39" s="28"/>
      <c r="P39" s="28"/>
      <c r="Q39" s="28"/>
    </row>
    <row r="40" spans="3:17" ht="16.8">
      <c r="C40" s="8"/>
      <c r="D40" s="8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8"/>
      <c r="P40" s="28"/>
      <c r="Q40" s="28"/>
    </row>
    <row r="41" spans="3:17" ht="16.8">
      <c r="C41" s="8"/>
      <c r="D41" s="8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8"/>
      <c r="P41" s="28"/>
      <c r="Q41" s="28"/>
    </row>
    <row r="42" spans="3:17" ht="16.8">
      <c r="C42" s="8"/>
      <c r="D42" s="8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8"/>
      <c r="P42" s="28"/>
      <c r="Q42" s="28"/>
    </row>
    <row r="43" spans="3:17" ht="16.8"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3:17" ht="16.8"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3:17" ht="16.8"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3:17" ht="16.8"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3:17" ht="16.8"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3:17" ht="16.8"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5:17" ht="16.8"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5:17" ht="16.8"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5:17" ht="16.8"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spans="5:17" ht="16.8"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spans="5:17" ht="16.8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spans="5:17" ht="16.8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spans="5:17" ht="16.8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spans="5:17" ht="16.8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spans="5:17" ht="16.8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5:17" ht="16.8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spans="5:17" ht="16.8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0" spans="5:17" ht="16.8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5:17" ht="16.8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5:17" ht="16.8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5:17" ht="16.8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5:17" ht="16.8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5:17" ht="16.8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5:17" ht="16.8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5:17" ht="16.8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5:17" ht="16.8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spans="5:17" ht="16.8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5:17" ht="16.8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5:17" ht="16.8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5:17" ht="16.8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5:17" ht="16.8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5:17" ht="16.8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5:17" ht="16.8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5:17" ht="16.8"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5:17" ht="16.8"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5:17" ht="16.8"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5:17" ht="16.8"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5:17" ht="16.8"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5:17" ht="16.8"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5:17" ht="16.8"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5:17" ht="16.8"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5:17" ht="16.8"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5:17" ht="16.8"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5:17" ht="16.8"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5:17" ht="16.8"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5:17" ht="16.8"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5:17" ht="16.8"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5:17" ht="16.8"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5:17" ht="16.8"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5:17" ht="16.8"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5:17" ht="16.8"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5:17" ht="16.8"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5:17" ht="16.8"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5:17" ht="16.8"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5:17" ht="16.8"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5:17" ht="16.8"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5:17" ht="16.8"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spans="5:17" ht="16.8"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  <row r="101" spans="5:17" ht="16.8"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</row>
    <row r="102" spans="5:17" ht="16.8"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</row>
    <row r="103" spans="5:17" ht="16.8"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</row>
    <row r="104" spans="5:17" ht="16.8"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5:17" ht="16.8"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</row>
    <row r="106" spans="5:17" ht="16.8"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</row>
    <row r="107" spans="5:17" ht="16.8"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08" spans="5:17" ht="16.8"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</row>
    <row r="109" spans="5:17" ht="16.8"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5:17" ht="16.8"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</row>
    <row r="111" spans="5:17" ht="16.8"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</row>
    <row r="112" spans="5:17" ht="16.8"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</row>
    <row r="113" spans="5:17" ht="16.8"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</row>
    <row r="114" spans="5:17" ht="16.8"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</row>
    <row r="115" spans="5:17" ht="16.8"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</row>
    <row r="116" spans="5:17" ht="16.8"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</row>
    <row r="117" spans="5:17" ht="16.8"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</row>
    <row r="118" spans="5:17" ht="16.8"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</row>
    <row r="119" spans="5:17" ht="16.8"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</row>
    <row r="120" spans="5:17" ht="16.8"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</row>
    <row r="121" spans="5:17" ht="16.8"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</row>
    <row r="122" spans="5:17" ht="16.8"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</row>
    <row r="123" spans="5:17" ht="16.8"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</row>
    <row r="124" spans="5:17" ht="16.8"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</row>
    <row r="125" spans="5:17" ht="16.8"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</row>
    <row r="126" spans="5:17" ht="16.8"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</row>
    <row r="127" spans="5:17" ht="16.8"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</row>
    <row r="128" spans="5:17" ht="16.8"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</row>
  </sheetData>
  <sheetProtection sheet="1" objects="1" scenarios="1" selectLockedCells="1"/>
  <mergeCells count="19">
    <mergeCell ref="C3:K3"/>
    <mergeCell ref="M7:Q7"/>
    <mergeCell ref="E29:E33"/>
    <mergeCell ref="M8:Q8"/>
    <mergeCell ref="M9:Q9"/>
    <mergeCell ref="M10:Q10"/>
    <mergeCell ref="M11:Q11"/>
    <mergeCell ref="M12:Q12"/>
    <mergeCell ref="M13:Q13"/>
    <mergeCell ref="M14:Q14"/>
    <mergeCell ref="M15:Q15"/>
    <mergeCell ref="M16:Q16"/>
    <mergeCell ref="M17:Q17"/>
    <mergeCell ref="M18:Q18"/>
    <mergeCell ref="M19:Q19"/>
    <mergeCell ref="M20:Q20"/>
    <mergeCell ref="M21:Q21"/>
    <mergeCell ref="M22:Q22"/>
    <mergeCell ref="E4:K4"/>
  </mergeCells>
  <conditionalFormatting sqref="E26:K26">
    <cfRule type="expression" dxfId="8" priority="1">
      <formula>$M$22&gt;0</formula>
    </cfRule>
  </conditionalFormatting>
  <conditionalFormatting sqref="F29:L33">
    <cfRule type="expression" dxfId="7" priority="3">
      <formula>$M$22=1</formula>
    </cfRule>
  </conditionalFormatting>
  <conditionalFormatting sqref="M29:Q33">
    <cfRule type="expression" dxfId="6" priority="2">
      <formula>$M$22=1</formula>
    </cfRule>
  </conditionalFormatting>
  <dataValidations count="2">
    <dataValidation type="list" showInputMessage="1" showErrorMessage="1" sqref="M21 M19" xr:uid="{700BE8AB-F48E-488C-AA4A-2FE701EE8AD2}">
      <formula1>"SIM,NÃO"</formula1>
    </dataValidation>
    <dataValidation type="list" allowBlank="1" showInputMessage="1" showErrorMessage="1" sqref="M29" xr:uid="{D555CA75-D609-4FF1-9AD4-DBAF37032E2D}">
      <formula1>"DEPENDENTE,ALIMENTANDO"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A35B57-7A49-46F3-A271-318957B3C4D0}">
          <x14:formula1>
            <xm:f>Planilha1!$D$2:$D$13</xm:f>
          </x14:formula1>
          <xm:sqref>M11:Q11</xm:sqref>
        </x14:dataValidation>
        <x14:dataValidation type="list" allowBlank="1" showInputMessage="1" showErrorMessage="1" xr:uid="{FBFD6B79-BEE1-4B68-AD66-AE5D9E3229E5}">
          <x14:formula1>
            <xm:f>Planilha1!$D$16:$D$42</xm:f>
          </x14:formula1>
          <xm:sqref>M15:Q15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2F36-59B9-4A1C-86CC-40E529AA4EC7}">
  <sheetPr>
    <pageSetUpPr autoPageBreaks="0"/>
  </sheetPr>
  <dimension ref="A1:V46"/>
  <sheetViews>
    <sheetView showGridLines="0" showRowColHeaders="0" tabSelected="1" zoomScaleNormal="100" workbookViewId="0">
      <selection activeCell="E7" sqref="E7"/>
    </sheetView>
  </sheetViews>
  <sheetFormatPr defaultRowHeight="16.8"/>
  <cols>
    <col min="1" max="1" width="35" style="2" customWidth="1"/>
    <col min="2" max="2" width="0.77734375" style="4" customWidth="1"/>
    <col min="3" max="3" width="8.88671875" style="28"/>
    <col min="4" max="4" width="11.33203125" style="40" bestFit="1" customWidth="1"/>
    <col min="5" max="5" width="49.109375" style="40" bestFit="1" customWidth="1"/>
    <col min="6" max="6" width="49.109375" style="40" customWidth="1"/>
    <col min="7" max="7" width="19.109375" style="40" bestFit="1" customWidth="1"/>
    <col min="8" max="8" width="16.109375" style="40" bestFit="1" customWidth="1"/>
    <col min="9" max="9" width="12.21875" style="40" bestFit="1" customWidth="1"/>
    <col min="10" max="10" width="52.6640625" style="40" customWidth="1"/>
    <col min="11" max="11" width="40.33203125" style="40" customWidth="1"/>
    <col min="12" max="12" width="20.21875" style="28" customWidth="1"/>
    <col min="13" max="13" width="14.5546875" style="28" bestFit="1" customWidth="1"/>
    <col min="14" max="14" width="8.88671875" style="28"/>
    <col min="15" max="15" width="17.44140625" style="28" bestFit="1" customWidth="1"/>
    <col min="16" max="16" width="12.88671875" style="28" customWidth="1"/>
    <col min="18" max="18" width="12" bestFit="1" customWidth="1"/>
  </cols>
  <sheetData>
    <row r="1" spans="1:22" s="5" customFormat="1" ht="14.4" customHeight="1">
      <c r="A1" s="2"/>
      <c r="B1" s="4"/>
      <c r="C1" s="33"/>
      <c r="D1" s="37"/>
      <c r="E1" s="37"/>
      <c r="F1" s="37"/>
      <c r="G1" s="37"/>
      <c r="H1" s="37"/>
      <c r="I1" s="37"/>
      <c r="J1" s="37"/>
      <c r="K1" s="37"/>
      <c r="L1" s="33"/>
      <c r="M1" s="33"/>
      <c r="N1" s="33"/>
      <c r="O1" s="33"/>
      <c r="P1" s="33"/>
    </row>
    <row r="2" spans="1:22" s="5" customFormat="1" ht="15" customHeight="1">
      <c r="A2" s="2"/>
      <c r="B2" s="4"/>
      <c r="C2" s="33"/>
      <c r="D2" s="37"/>
      <c r="E2" s="37"/>
      <c r="F2" s="37"/>
      <c r="G2" s="37"/>
      <c r="H2" s="37"/>
      <c r="I2" s="37"/>
      <c r="J2" s="37"/>
      <c r="K2" s="37"/>
      <c r="L2" s="33"/>
      <c r="M2" s="33"/>
      <c r="N2" s="33"/>
      <c r="O2" s="33"/>
      <c r="P2" s="33"/>
    </row>
    <row r="3" spans="1:22" s="1" customFormat="1" ht="21" thickBot="1">
      <c r="A3" s="2"/>
      <c r="B3" s="4"/>
      <c r="C3" s="101" t="s">
        <v>23</v>
      </c>
      <c r="D3" s="101"/>
      <c r="E3" s="101"/>
      <c r="F3" s="101"/>
      <c r="G3" s="79"/>
      <c r="H3" s="79"/>
      <c r="I3" s="79"/>
      <c r="J3" s="79"/>
      <c r="K3" s="79"/>
      <c r="L3" s="39"/>
      <c r="M3" s="39"/>
      <c r="N3" s="39"/>
      <c r="O3" s="39"/>
      <c r="P3" s="39"/>
    </row>
    <row r="4" spans="1:22" s="8" customFormat="1" ht="17.399999999999999" thickTop="1">
      <c r="A4" s="2"/>
      <c r="B4" s="4"/>
      <c r="C4" s="28"/>
      <c r="D4" s="40"/>
      <c r="E4" s="77" t="s">
        <v>208</v>
      </c>
      <c r="F4" s="77"/>
      <c r="G4" s="78"/>
      <c r="H4" s="78"/>
      <c r="I4" s="78"/>
      <c r="J4" s="78"/>
      <c r="K4" s="78"/>
      <c r="L4" s="34"/>
      <c r="M4" s="34"/>
      <c r="N4" s="34"/>
      <c r="O4" s="34"/>
      <c r="P4" s="34"/>
      <c r="Q4" s="7"/>
      <c r="R4" s="7"/>
      <c r="S4" s="7"/>
      <c r="T4" s="7"/>
      <c r="U4" s="7"/>
      <c r="V4" s="7"/>
    </row>
    <row r="5" spans="1:22">
      <c r="E5" s="41"/>
      <c r="F5" s="41"/>
      <c r="G5" s="41"/>
      <c r="H5" s="42"/>
      <c r="I5" s="42"/>
      <c r="J5" s="42"/>
      <c r="K5" s="42"/>
      <c r="L5" s="34"/>
      <c r="M5" s="34"/>
      <c r="N5" s="34"/>
      <c r="O5" s="34"/>
      <c r="P5" s="34"/>
      <c r="Q5" s="7"/>
      <c r="R5" s="7"/>
      <c r="S5" s="7"/>
      <c r="T5" s="7"/>
      <c r="U5" s="7"/>
      <c r="V5" s="7"/>
    </row>
    <row r="6" spans="1:22" ht="19.2" customHeight="1">
      <c r="D6" s="43" t="s">
        <v>24</v>
      </c>
      <c r="E6" s="44" t="s">
        <v>25</v>
      </c>
      <c r="F6" s="44" t="s">
        <v>60</v>
      </c>
      <c r="G6" s="44" t="s">
        <v>88</v>
      </c>
      <c r="H6" s="44" t="s">
        <v>26</v>
      </c>
      <c r="I6" s="45" t="s">
        <v>28</v>
      </c>
      <c r="J6" s="44" t="s">
        <v>27</v>
      </c>
      <c r="K6" s="44" t="s">
        <v>61</v>
      </c>
      <c r="L6" s="44" t="s">
        <v>89</v>
      </c>
      <c r="M6" s="44" t="s">
        <v>29</v>
      </c>
      <c r="N6" s="34"/>
      <c r="O6" s="46" t="s">
        <v>31</v>
      </c>
      <c r="P6" s="47" t="s">
        <v>30</v>
      </c>
      <c r="Q6" s="7"/>
      <c r="T6" s="7"/>
      <c r="U6" s="7"/>
      <c r="V6" s="7"/>
    </row>
    <row r="7" spans="1:22" ht="19.2" customHeight="1">
      <c r="A7" s="3"/>
      <c r="D7" s="84">
        <v>38405</v>
      </c>
      <c r="E7" s="82" t="s">
        <v>62</v>
      </c>
      <c r="F7" s="82"/>
      <c r="G7" s="85"/>
      <c r="H7" s="85">
        <v>27</v>
      </c>
      <c r="I7" s="84">
        <v>25</v>
      </c>
      <c r="J7" s="82"/>
      <c r="K7" s="82"/>
      <c r="L7" s="86"/>
      <c r="M7" s="87"/>
      <c r="N7" s="34"/>
      <c r="O7" s="48" cm="1">
        <f t="array" ref="O7">SUMPRODUCT(COUNTIF(Rendimentos_Tributaveis, $E$6:$E$23)) + SUMPRODUCT(COUNTIF(Rendimentos_Tributaveis, $J$6:$J$23))</f>
        <v>1</v>
      </c>
      <c r="P7" s="49" cm="1">
        <f t="array" ref="P7">SUMPRODUCT(SUMIF($E$6:$E$23, Rendimentos_Tributaveis, $H$6:$H$23)) + SUMPRODUCT(SUMIF($J$6:$J$23, Rendimentos_Tributaveis, $M$6:$M$23))</f>
        <v>100</v>
      </c>
      <c r="Q7" s="7"/>
      <c r="T7" s="7"/>
      <c r="U7" s="7"/>
      <c r="V7" s="7"/>
    </row>
    <row r="8" spans="1:22" ht="19.2" customHeight="1">
      <c r="A8" s="10"/>
      <c r="D8" s="84">
        <v>38406</v>
      </c>
      <c r="E8" s="82" t="s">
        <v>38</v>
      </c>
      <c r="F8" s="82"/>
      <c r="G8" s="85"/>
      <c r="H8" s="85">
        <v>100</v>
      </c>
      <c r="I8" s="84">
        <v>38423</v>
      </c>
      <c r="J8" s="82"/>
      <c r="K8" s="82"/>
      <c r="L8" s="86"/>
      <c r="M8" s="87"/>
      <c r="N8" s="34"/>
      <c r="O8" s="34"/>
      <c r="P8" s="34"/>
      <c r="Q8" s="9"/>
      <c r="R8" s="6"/>
      <c r="S8" s="7"/>
      <c r="T8" s="7"/>
      <c r="U8" s="7"/>
      <c r="V8" s="7"/>
    </row>
    <row r="9" spans="1:22" ht="19.2" customHeight="1">
      <c r="D9" s="84">
        <v>38407</v>
      </c>
      <c r="E9" s="82" t="s">
        <v>50</v>
      </c>
      <c r="F9" s="82"/>
      <c r="G9" s="85"/>
      <c r="H9" s="85">
        <v>15</v>
      </c>
      <c r="I9" s="84">
        <v>38424</v>
      </c>
      <c r="J9" s="82"/>
      <c r="K9" s="82"/>
      <c r="L9" s="86"/>
      <c r="M9" s="87"/>
      <c r="N9" s="34"/>
      <c r="Q9" s="9"/>
      <c r="R9" s="6"/>
      <c r="S9" s="7"/>
      <c r="T9" s="7"/>
      <c r="U9" s="7"/>
      <c r="V9" s="7"/>
    </row>
    <row r="10" spans="1:22" ht="19.2" customHeight="1">
      <c r="D10" s="84">
        <v>38408</v>
      </c>
      <c r="E10" s="82"/>
      <c r="F10" s="82"/>
      <c r="G10" s="85"/>
      <c r="H10" s="85"/>
      <c r="I10" s="84">
        <v>38425</v>
      </c>
      <c r="J10" s="82"/>
      <c r="K10" s="82"/>
      <c r="L10" s="86"/>
      <c r="M10" s="87"/>
      <c r="N10" s="34"/>
      <c r="O10" s="46" t="s">
        <v>32</v>
      </c>
      <c r="P10" s="47" t="s">
        <v>30</v>
      </c>
      <c r="Q10" s="9"/>
      <c r="R10" s="6"/>
      <c r="S10" s="7"/>
      <c r="T10" s="7"/>
      <c r="U10" s="7"/>
      <c r="V10" s="7"/>
    </row>
    <row r="11" spans="1:22" ht="19.2" customHeight="1">
      <c r="D11" s="84">
        <v>38409</v>
      </c>
      <c r="E11" s="82"/>
      <c r="F11" s="82"/>
      <c r="G11" s="85"/>
      <c r="H11" s="85"/>
      <c r="I11" s="84">
        <v>38426</v>
      </c>
      <c r="J11" s="82"/>
      <c r="K11" s="82"/>
      <c r="L11" s="86"/>
      <c r="M11" s="87"/>
      <c r="N11" s="34"/>
      <c r="O11" s="48" cm="1">
        <f t="array" ref="O11">SUMPRODUCT(COUNTIF(Rendimentos_Isentos, $E$6:$E$23)) + SUMPRODUCT(COUNTIF(Rendimentos_Isentos, $J$6:$J$23))</f>
        <v>1</v>
      </c>
      <c r="P11" s="49" cm="1">
        <f t="array" ref="P11">SUMPRODUCT(SUMIF($E$6:$E$23, Rendimentos_Isentos, $H$6:$H$23)) + SUMPRODUCT(SUMIF($J$6:$J$23, Rendimentos_Isentos, $M$6:$M$23))</f>
        <v>15</v>
      </c>
      <c r="Q11" s="9"/>
      <c r="R11" s="6"/>
      <c r="S11" s="7"/>
      <c r="T11" s="7"/>
      <c r="U11" s="7"/>
      <c r="V11" s="7"/>
    </row>
    <row r="12" spans="1:22" ht="19.2" customHeight="1">
      <c r="D12" s="84">
        <v>38410</v>
      </c>
      <c r="E12" s="82"/>
      <c r="F12" s="82"/>
      <c r="G12" s="85"/>
      <c r="H12" s="85"/>
      <c r="I12" s="84">
        <v>38427</v>
      </c>
      <c r="J12" s="82"/>
      <c r="K12" s="82"/>
      <c r="L12" s="86"/>
      <c r="M12" s="87"/>
      <c r="N12" s="34"/>
      <c r="O12" s="34"/>
      <c r="P12" s="34"/>
      <c r="Q12" s="9"/>
      <c r="R12" s="6"/>
      <c r="S12" s="7"/>
      <c r="T12" s="7"/>
      <c r="U12" s="7"/>
      <c r="V12" s="7"/>
    </row>
    <row r="13" spans="1:22" ht="19.2" customHeight="1">
      <c r="D13" s="84">
        <v>38411</v>
      </c>
      <c r="E13" s="82"/>
      <c r="F13" s="82"/>
      <c r="G13" s="85"/>
      <c r="H13" s="85"/>
      <c r="I13" s="84">
        <v>38428</v>
      </c>
      <c r="J13" s="82"/>
      <c r="K13" s="82"/>
      <c r="L13" s="86"/>
      <c r="M13" s="87"/>
      <c r="N13" s="34"/>
      <c r="O13" s="34"/>
      <c r="P13" s="34"/>
      <c r="Q13" s="9"/>
      <c r="S13" s="7"/>
      <c r="T13" s="7"/>
      <c r="U13" s="7"/>
      <c r="V13" s="7"/>
    </row>
    <row r="14" spans="1:22" ht="19.2" customHeight="1">
      <c r="D14" s="84">
        <v>38412</v>
      </c>
      <c r="E14" s="82"/>
      <c r="F14" s="82"/>
      <c r="G14" s="85"/>
      <c r="H14" s="85"/>
      <c r="I14" s="84">
        <v>38429</v>
      </c>
      <c r="J14" s="82"/>
      <c r="K14" s="82"/>
      <c r="L14" s="86"/>
      <c r="M14" s="87"/>
      <c r="N14" s="34"/>
      <c r="O14" s="46" t="s">
        <v>59</v>
      </c>
      <c r="P14" s="47" t="s">
        <v>30</v>
      </c>
      <c r="Q14" s="9"/>
      <c r="R14" s="6"/>
      <c r="S14" s="7"/>
      <c r="T14" s="7"/>
      <c r="U14" s="7"/>
      <c r="V14" s="7"/>
    </row>
    <row r="15" spans="1:22" ht="19.2" customHeight="1">
      <c r="D15" s="84">
        <v>38413</v>
      </c>
      <c r="E15" s="82"/>
      <c r="F15" s="82"/>
      <c r="G15" s="85"/>
      <c r="H15" s="85"/>
      <c r="I15" s="84">
        <v>38430</v>
      </c>
      <c r="J15" s="82"/>
      <c r="K15" s="82"/>
      <c r="L15" s="86"/>
      <c r="M15" s="87"/>
      <c r="N15" s="34"/>
      <c r="O15" s="48" cm="1">
        <f t="array" ref="O15">SUMPRODUCT(COUNTIF(Rendimentos_Exclusivos, $E$6:$E$23)) + SUMPRODUCT(COUNTIF(Rendimentos_Exclusivos, $J$6:$J$23))</f>
        <v>0</v>
      </c>
      <c r="P15" s="49" cm="1">
        <f t="array" ref="P15">SUMPRODUCT(SUMIF($E$6:$E$23, Rendimentos_Isentos, $H$6:$H$23)) + SUMPRODUCT(SUMIF($J$6:$J$23, Rendimentos_Isentos, $M$6:$M$23))</f>
        <v>15</v>
      </c>
      <c r="Q15" s="9"/>
      <c r="R15" s="6"/>
      <c r="S15" s="7"/>
      <c r="T15" s="7"/>
      <c r="U15" s="7"/>
      <c r="V15" s="7"/>
    </row>
    <row r="16" spans="1:22" ht="19.2" customHeight="1">
      <c r="D16" s="84">
        <v>38414</v>
      </c>
      <c r="E16" s="82"/>
      <c r="F16" s="82"/>
      <c r="G16" s="85"/>
      <c r="H16" s="85"/>
      <c r="I16" s="84">
        <v>38431</v>
      </c>
      <c r="J16" s="82"/>
      <c r="K16" s="82"/>
      <c r="L16" s="86"/>
      <c r="M16" s="87"/>
      <c r="N16" s="34"/>
      <c r="O16" s="34"/>
      <c r="P16" s="34"/>
      <c r="Q16" s="9"/>
      <c r="R16" s="6"/>
      <c r="S16" s="7"/>
      <c r="T16" s="7"/>
      <c r="U16" s="7"/>
      <c r="V16" s="7"/>
    </row>
    <row r="17" spans="1:22" ht="19.2" customHeight="1">
      <c r="D17" s="84">
        <v>38415</v>
      </c>
      <c r="E17" s="82"/>
      <c r="F17" s="82"/>
      <c r="G17" s="85"/>
      <c r="H17" s="85"/>
      <c r="I17" s="84">
        <v>38432</v>
      </c>
      <c r="J17" s="82"/>
      <c r="K17" s="82"/>
      <c r="L17" s="86"/>
      <c r="M17" s="87"/>
      <c r="N17" s="34"/>
      <c r="Q17" s="9"/>
      <c r="R17" s="6"/>
      <c r="S17" s="7"/>
      <c r="T17" s="7"/>
      <c r="U17" s="7"/>
      <c r="V17" s="7"/>
    </row>
    <row r="18" spans="1:22" ht="19.2" customHeight="1">
      <c r="D18" s="84">
        <v>38416</v>
      </c>
      <c r="E18" s="82"/>
      <c r="F18" s="82"/>
      <c r="G18" s="85"/>
      <c r="H18" s="85"/>
      <c r="I18" s="84">
        <v>38433</v>
      </c>
      <c r="J18" s="82"/>
      <c r="K18" s="82"/>
      <c r="L18" s="86"/>
      <c r="M18" s="87"/>
      <c r="N18" s="34"/>
      <c r="O18" s="46" t="s">
        <v>63</v>
      </c>
      <c r="P18" s="47" t="s">
        <v>30</v>
      </c>
      <c r="Q18" s="9"/>
      <c r="R18" s="6"/>
      <c r="S18" s="7"/>
      <c r="T18" s="7"/>
      <c r="U18" s="7"/>
      <c r="V18" s="7"/>
    </row>
    <row r="19" spans="1:22" ht="19.2" customHeight="1">
      <c r="D19" s="84">
        <v>38417</v>
      </c>
      <c r="E19" s="82"/>
      <c r="F19" s="82"/>
      <c r="G19" s="85"/>
      <c r="H19" s="85"/>
      <c r="I19" s="84">
        <v>38434</v>
      </c>
      <c r="J19" s="82"/>
      <c r="K19" s="82"/>
      <c r="L19" s="86"/>
      <c r="M19" s="87"/>
      <c r="N19" s="34"/>
      <c r="O19" s="48" cm="1">
        <f t="array" ref="O19">SUMPRODUCT(COUNTIF(Planilha1!B97, $E$6:$E$23)) + SUMPRODUCT(COUNTIF(Planilha1!B97, $J$6:$J$23))</f>
        <v>1</v>
      </c>
      <c r="P19" s="49">
        <f>SUMPRODUCT(SUMIF($E$6:$E$23, Planilha1!B97, $H$6:$H$23)) + SUMPRODUCT(SUMIF($J$6:$J$23, Planilha1!B97, $M$6:$M$23))</f>
        <v>27</v>
      </c>
      <c r="Q19" s="9"/>
      <c r="R19" s="6"/>
      <c r="S19" s="7"/>
      <c r="T19" s="7"/>
      <c r="U19" s="7"/>
      <c r="V19" s="7"/>
    </row>
    <row r="20" spans="1:22" ht="19.2" customHeight="1">
      <c r="D20" s="84">
        <v>38418</v>
      </c>
      <c r="E20" s="82"/>
      <c r="F20" s="82"/>
      <c r="G20" s="85"/>
      <c r="H20" s="85"/>
      <c r="I20" s="84">
        <v>38435</v>
      </c>
      <c r="J20" s="82"/>
      <c r="K20" s="82"/>
      <c r="L20" s="86"/>
      <c r="M20" s="87"/>
      <c r="N20" s="34"/>
      <c r="O20" s="34"/>
      <c r="P20" s="34"/>
      <c r="Q20" s="9"/>
      <c r="R20" s="6"/>
      <c r="S20" s="7"/>
      <c r="T20" s="7"/>
      <c r="U20" s="7"/>
      <c r="V20" s="7"/>
    </row>
    <row r="21" spans="1:22" ht="19.2" customHeight="1">
      <c r="D21" s="84">
        <v>38419</v>
      </c>
      <c r="E21" s="82"/>
      <c r="F21" s="82"/>
      <c r="G21" s="85"/>
      <c r="H21" s="85"/>
      <c r="I21" s="84">
        <v>38436</v>
      </c>
      <c r="J21" s="82"/>
      <c r="K21" s="82"/>
      <c r="L21" s="86"/>
      <c r="M21" s="87"/>
      <c r="N21" s="34"/>
      <c r="O21" s="34"/>
      <c r="P21" s="34"/>
      <c r="Q21" s="9"/>
      <c r="R21" s="7"/>
      <c r="S21" s="7"/>
      <c r="T21" s="7"/>
      <c r="U21" s="7"/>
      <c r="V21" s="7"/>
    </row>
    <row r="22" spans="1:22" ht="19.2" customHeight="1">
      <c r="D22" s="84">
        <v>38420</v>
      </c>
      <c r="E22" s="82"/>
      <c r="F22" s="82"/>
      <c r="G22" s="85"/>
      <c r="H22" s="85"/>
      <c r="I22" s="84">
        <v>38437</v>
      </c>
      <c r="J22" s="82"/>
      <c r="K22" s="82"/>
      <c r="L22" s="86"/>
      <c r="M22" s="87"/>
      <c r="N22" s="34"/>
      <c r="O22" s="34"/>
      <c r="P22" s="34"/>
      <c r="Q22" s="9"/>
      <c r="R22" s="6"/>
      <c r="S22" s="7"/>
      <c r="T22" s="7"/>
      <c r="U22" s="7"/>
      <c r="V22" s="7"/>
    </row>
    <row r="23" spans="1:22" ht="21.6" customHeight="1">
      <c r="D23" s="84">
        <v>38421</v>
      </c>
      <c r="E23" s="82"/>
      <c r="F23" s="82"/>
      <c r="G23" s="85"/>
      <c r="H23" s="85"/>
      <c r="I23" s="84">
        <v>38438</v>
      </c>
      <c r="J23" s="82"/>
      <c r="K23" s="82"/>
      <c r="L23" s="86"/>
      <c r="M23" s="87"/>
      <c r="N23" s="34"/>
      <c r="O23" s="34"/>
      <c r="P23" s="34"/>
      <c r="Q23" s="9"/>
      <c r="R23" s="6"/>
      <c r="S23" s="7"/>
      <c r="T23" s="7"/>
      <c r="U23" s="7"/>
      <c r="V23" s="7"/>
    </row>
    <row r="26" spans="1:22" s="1" customFormat="1" ht="21" thickBot="1">
      <c r="A26" s="2"/>
      <c r="B26" s="4"/>
      <c r="C26" s="27"/>
      <c r="D26" s="38"/>
      <c r="E26" s="100" t="s">
        <v>86</v>
      </c>
      <c r="F26" s="100"/>
      <c r="G26" s="100"/>
      <c r="H26" s="100"/>
      <c r="I26" s="100"/>
      <c r="J26" s="100"/>
      <c r="K26" s="100"/>
      <c r="L26" s="39"/>
      <c r="M26" s="39"/>
      <c r="N26" s="39"/>
      <c r="O26" s="39"/>
      <c r="P26" s="39"/>
    </row>
    <row r="27" spans="1:22" ht="17.399999999999999" thickTop="1">
      <c r="E27" s="93" t="s">
        <v>209</v>
      </c>
      <c r="F27" s="93"/>
      <c r="G27" s="93"/>
      <c r="H27" s="42"/>
      <c r="I27" s="42"/>
      <c r="J27" s="42"/>
      <c r="K27" s="42"/>
      <c r="L27" s="34"/>
      <c r="M27" s="34"/>
      <c r="N27" s="34"/>
      <c r="O27" s="34"/>
      <c r="P27" s="34"/>
      <c r="Q27" s="8"/>
    </row>
    <row r="28" spans="1:22">
      <c r="E28" s="41"/>
      <c r="F28" s="41"/>
      <c r="G28" s="41"/>
      <c r="H28" s="42"/>
      <c r="I28" s="42"/>
      <c r="J28" s="42"/>
      <c r="K28" s="42"/>
      <c r="L28" s="34"/>
      <c r="M28" s="34"/>
      <c r="N28" s="34"/>
      <c r="O28" s="34"/>
      <c r="P28" s="34"/>
    </row>
    <row r="29" spans="1:22" ht="21.6" customHeight="1">
      <c r="D29" s="43" t="s">
        <v>24</v>
      </c>
      <c r="E29" s="44" t="s">
        <v>82</v>
      </c>
      <c r="F29" s="44" t="s">
        <v>60</v>
      </c>
      <c r="G29" s="44" t="s">
        <v>90</v>
      </c>
      <c r="H29" s="44" t="s">
        <v>26</v>
      </c>
      <c r="I29" s="45" t="s">
        <v>28</v>
      </c>
      <c r="J29" s="44" t="s">
        <v>83</v>
      </c>
      <c r="K29" s="44" t="s">
        <v>61</v>
      </c>
      <c r="L29" s="44" t="s">
        <v>91</v>
      </c>
      <c r="M29" s="44" t="s">
        <v>87</v>
      </c>
      <c r="N29" s="34"/>
      <c r="O29" s="46" t="s">
        <v>84</v>
      </c>
      <c r="P29" s="47" t="s">
        <v>30</v>
      </c>
    </row>
    <row r="30" spans="1:22" ht="21.6" customHeight="1">
      <c r="C30" s="50"/>
      <c r="D30" s="84">
        <v>38405</v>
      </c>
      <c r="E30" s="82" t="s">
        <v>66</v>
      </c>
      <c r="F30" s="82"/>
      <c r="G30" s="86"/>
      <c r="H30" s="85">
        <v>27</v>
      </c>
      <c r="I30" s="84">
        <v>25</v>
      </c>
      <c r="J30" s="82"/>
      <c r="K30" s="82"/>
      <c r="L30" s="86"/>
      <c r="M30" s="87"/>
      <c r="N30" s="34"/>
      <c r="O30" s="48" cm="1">
        <f t="array" ref="O30">SUMPRODUCT(COUNTIF(Despesas_Dedutivas, $E$29:$E$46)) + SUMPRODUCT(COUNTIF(Despesas_Dedutivas, $J$29:$J$46))</f>
        <v>1</v>
      </c>
      <c r="P30" s="49" cm="1">
        <f t="array" ref="P30">SUMPRODUCT(SUMIF($E$29:$E$46, Despesas_Dedutivas, $H$29:$H$46)) + SUMPRODUCT(SUMIF($J$29:$J$46, Despesas_Dedutivas, $M$29:$M$46))</f>
        <v>27</v>
      </c>
      <c r="Q30" s="9" t="str">
        <f>IF(R23=1,"TIPO","")</f>
        <v/>
      </c>
      <c r="R30" s="6"/>
      <c r="S30" s="7"/>
      <c r="T30" s="7"/>
      <c r="U30" s="7"/>
      <c r="V30" s="7"/>
    </row>
    <row r="31" spans="1:22" ht="21.6" customHeight="1">
      <c r="C31" s="50"/>
      <c r="D31" s="84">
        <v>38406</v>
      </c>
      <c r="E31" s="82" t="s">
        <v>77</v>
      </c>
      <c r="F31" s="82"/>
      <c r="G31" s="86"/>
      <c r="H31" s="85">
        <v>100</v>
      </c>
      <c r="I31" s="84">
        <v>38423</v>
      </c>
      <c r="J31" s="82"/>
      <c r="K31" s="82"/>
      <c r="L31" s="86"/>
      <c r="M31" s="87"/>
      <c r="N31" s="34"/>
      <c r="O31" s="34"/>
      <c r="P31" s="34"/>
      <c r="Q31" s="9" t="str">
        <f>IF($R$23=1,"GRAU DE PARENTESCO (FILHO, CÔNJUGE, PAIS, ETC.)","")</f>
        <v/>
      </c>
      <c r="R31" s="6"/>
      <c r="S31" s="7"/>
      <c r="T31" s="7"/>
      <c r="U31" s="7"/>
      <c r="V31" s="7"/>
    </row>
    <row r="32" spans="1:22" ht="21.6" customHeight="1">
      <c r="C32" s="50"/>
      <c r="D32" s="84">
        <v>38407</v>
      </c>
      <c r="E32" s="82" t="s">
        <v>62</v>
      </c>
      <c r="F32" s="82"/>
      <c r="G32" s="86"/>
      <c r="H32" s="85">
        <v>50</v>
      </c>
      <c r="I32" s="84">
        <v>38424</v>
      </c>
      <c r="J32" s="82"/>
      <c r="K32" s="82"/>
      <c r="L32" s="86"/>
      <c r="M32" s="87"/>
      <c r="N32" s="34"/>
      <c r="Q32" s="9" t="str">
        <f>IF($R$23=1,"NOME COMPLETO","")</f>
        <v/>
      </c>
      <c r="R32" s="6"/>
      <c r="S32" s="7"/>
      <c r="T32" s="7"/>
      <c r="U32" s="7"/>
      <c r="V32" s="7"/>
    </row>
    <row r="33" spans="3:22" ht="21.6" customHeight="1">
      <c r="C33" s="50"/>
      <c r="D33" s="84">
        <v>38408</v>
      </c>
      <c r="E33" s="82"/>
      <c r="F33" s="82"/>
      <c r="G33" s="86"/>
      <c r="H33" s="85"/>
      <c r="I33" s="84">
        <v>38425</v>
      </c>
      <c r="J33" s="82"/>
      <c r="K33" s="82"/>
      <c r="L33" s="86"/>
      <c r="M33" s="87"/>
      <c r="N33" s="34"/>
      <c r="O33" s="46" t="s">
        <v>85</v>
      </c>
      <c r="P33" s="47" t="s">
        <v>30</v>
      </c>
      <c r="Q33" s="9" t="str">
        <f>IF($R$23=1,"CPF (OBRIGATÓRIO PARA TODAS AS IDADES)","")</f>
        <v/>
      </c>
      <c r="R33" s="6"/>
      <c r="S33" s="7"/>
      <c r="T33" s="7"/>
      <c r="U33" s="7"/>
      <c r="V33" s="7"/>
    </row>
    <row r="34" spans="3:22" ht="21.6" customHeight="1">
      <c r="C34" s="50"/>
      <c r="D34" s="84">
        <v>38409</v>
      </c>
      <c r="E34" s="82"/>
      <c r="F34" s="82"/>
      <c r="G34" s="86"/>
      <c r="H34" s="85"/>
      <c r="I34" s="84">
        <v>38426</v>
      </c>
      <c r="J34" s="82"/>
      <c r="K34" s="82"/>
      <c r="L34" s="86"/>
      <c r="M34" s="87"/>
      <c r="N34" s="34"/>
      <c r="O34" s="48" cm="1">
        <f t="array" ref="O34">SUMPRODUCT(COUNTIF(Despesas_Incentivadas, $E$29:$E$46)) + SUMPRODUCT(COUNTIF(Despesas_Incentivadas, $J$29:$J$46))</f>
        <v>1</v>
      </c>
      <c r="P34" s="49" cm="1">
        <f t="array" ref="P34">SUMPRODUCT(SUMIF($E$29:$E$46, Despesas_Incentivadas, $H$29:$H$46)) + SUMPRODUCT(SUMIF($J$29:$J$46, Despesas_Incentivadas, $M$29:$M$46))</f>
        <v>100</v>
      </c>
      <c r="Q34" s="9" t="str">
        <f>IF($R$23=1,"DATA DE NASCIMENTO","")</f>
        <v/>
      </c>
      <c r="R34" s="6"/>
      <c r="S34" s="7"/>
      <c r="T34" s="7"/>
      <c r="U34" s="7"/>
      <c r="V34" s="7"/>
    </row>
    <row r="35" spans="3:22" ht="21.6" customHeight="1">
      <c r="C35" s="50"/>
      <c r="D35" s="84">
        <v>38410</v>
      </c>
      <c r="E35" s="82"/>
      <c r="F35" s="82"/>
      <c r="G35" s="86"/>
      <c r="H35" s="85"/>
      <c r="I35" s="84">
        <v>38427</v>
      </c>
      <c r="J35" s="82"/>
      <c r="K35" s="82"/>
      <c r="L35" s="86"/>
      <c r="M35" s="87"/>
      <c r="N35" s="34"/>
      <c r="O35" s="34"/>
      <c r="P35" s="34"/>
      <c r="Q35" s="7"/>
      <c r="R35" s="7"/>
      <c r="S35" s="7"/>
    </row>
    <row r="36" spans="3:22" ht="21.6" customHeight="1">
      <c r="C36" s="50"/>
      <c r="D36" s="84">
        <v>38411</v>
      </c>
      <c r="E36" s="82"/>
      <c r="F36" s="82"/>
      <c r="G36" s="86"/>
      <c r="H36" s="85"/>
      <c r="I36" s="84">
        <v>38428</v>
      </c>
      <c r="J36" s="82"/>
      <c r="K36" s="82"/>
      <c r="L36" s="86"/>
      <c r="M36" s="87"/>
      <c r="N36" s="34"/>
      <c r="O36" s="34"/>
      <c r="P36" s="34"/>
      <c r="Q36" s="9"/>
      <c r="R36" s="7"/>
      <c r="S36" s="7"/>
    </row>
    <row r="37" spans="3:22" ht="21.6" customHeight="1">
      <c r="C37" s="50"/>
      <c r="D37" s="84">
        <v>38412</v>
      </c>
      <c r="E37" s="82"/>
      <c r="F37" s="82"/>
      <c r="G37" s="86"/>
      <c r="H37" s="85"/>
      <c r="I37" s="84">
        <v>38429</v>
      </c>
      <c r="J37" s="82"/>
      <c r="K37" s="82"/>
      <c r="L37" s="86"/>
      <c r="M37" s="87"/>
      <c r="N37" s="34"/>
      <c r="O37" s="46" t="s">
        <v>63</v>
      </c>
      <c r="P37" s="47" t="s">
        <v>30</v>
      </c>
      <c r="Q37" s="9"/>
      <c r="R37" s="7"/>
      <c r="S37" s="7"/>
    </row>
    <row r="38" spans="3:22" ht="21.6" customHeight="1">
      <c r="C38" s="50"/>
      <c r="D38" s="84">
        <v>38413</v>
      </c>
      <c r="E38" s="82"/>
      <c r="F38" s="82"/>
      <c r="G38" s="86"/>
      <c r="H38" s="85"/>
      <c r="I38" s="84">
        <v>38430</v>
      </c>
      <c r="J38" s="82"/>
      <c r="K38" s="82"/>
      <c r="L38" s="86"/>
      <c r="M38" s="87"/>
      <c r="N38" s="34"/>
      <c r="O38" s="48" cm="1">
        <f t="array" ref="O38">SUMPRODUCT(COUNTIF(Planilha1!B115, $E$29:$E$46)) + SUMPRODUCT(COUNTIF(Planilha1!B115, $J$29:$J$46))</f>
        <v>1</v>
      </c>
      <c r="P38" s="49">
        <f>SUMPRODUCT(SUMIF($E$29:$E$46, Planilha1!B115, $H$29:$H$46)) + SUMPRODUCT(SUMIF($J$29:$J$46, Planilha1!B115, $M$29:$M$46))</f>
        <v>50</v>
      </c>
      <c r="Q38" s="9"/>
      <c r="R38" s="7"/>
      <c r="S38" s="7"/>
    </row>
    <row r="39" spans="3:22" ht="21.6" customHeight="1">
      <c r="C39" s="50"/>
      <c r="D39" s="84">
        <v>38414</v>
      </c>
      <c r="E39" s="82"/>
      <c r="F39" s="82"/>
      <c r="G39" s="86"/>
      <c r="H39" s="85"/>
      <c r="I39" s="84">
        <v>38431</v>
      </c>
      <c r="J39" s="82"/>
      <c r="K39" s="82"/>
      <c r="L39" s="86"/>
      <c r="M39" s="87"/>
      <c r="N39" s="34"/>
      <c r="O39" s="34"/>
      <c r="P39" s="34"/>
      <c r="Q39" s="9"/>
      <c r="R39" s="7"/>
      <c r="S39" s="7"/>
    </row>
    <row r="40" spans="3:22" ht="21.6" customHeight="1">
      <c r="C40" s="50"/>
      <c r="D40" s="84">
        <v>38415</v>
      </c>
      <c r="E40" s="82"/>
      <c r="F40" s="82"/>
      <c r="G40" s="86"/>
      <c r="H40" s="85"/>
      <c r="I40" s="84">
        <v>38432</v>
      </c>
      <c r="J40" s="82"/>
      <c r="K40" s="82"/>
      <c r="L40" s="86"/>
      <c r="M40" s="87"/>
      <c r="N40" s="34"/>
      <c r="O40" s="34"/>
      <c r="P40" s="34"/>
      <c r="Q40" s="9"/>
      <c r="R40" s="7"/>
      <c r="S40" s="7"/>
    </row>
    <row r="41" spans="3:22" ht="21.6" customHeight="1">
      <c r="C41" s="50"/>
      <c r="D41" s="84">
        <v>38416</v>
      </c>
      <c r="E41" s="82"/>
      <c r="F41" s="82"/>
      <c r="G41" s="86"/>
      <c r="H41" s="85"/>
      <c r="I41" s="84">
        <v>38433</v>
      </c>
      <c r="J41" s="82"/>
      <c r="K41" s="82"/>
      <c r="L41" s="86"/>
      <c r="M41" s="87"/>
      <c r="N41" s="34"/>
      <c r="O41" s="51"/>
      <c r="P41" s="51"/>
      <c r="Q41" s="7"/>
      <c r="R41" s="7"/>
      <c r="S41" s="7"/>
    </row>
    <row r="42" spans="3:22" ht="21.6" customHeight="1">
      <c r="C42" s="50"/>
      <c r="D42" s="84">
        <v>38417</v>
      </c>
      <c r="E42" s="82"/>
      <c r="F42" s="82"/>
      <c r="G42" s="86"/>
      <c r="H42" s="85"/>
      <c r="I42" s="84">
        <v>38434</v>
      </c>
      <c r="J42" s="82"/>
      <c r="K42" s="82"/>
      <c r="L42" s="86"/>
      <c r="M42" s="87"/>
      <c r="N42" s="34"/>
      <c r="O42" s="34"/>
      <c r="P42" s="52"/>
      <c r="Q42" s="7"/>
      <c r="R42" s="7"/>
      <c r="S42" s="7"/>
    </row>
    <row r="43" spans="3:22" ht="21.6" customHeight="1">
      <c r="C43" s="50"/>
      <c r="D43" s="84">
        <v>38418</v>
      </c>
      <c r="E43" s="82"/>
      <c r="F43" s="82"/>
      <c r="G43" s="86"/>
      <c r="H43" s="85"/>
      <c r="I43" s="84">
        <v>38435</v>
      </c>
      <c r="J43" s="82"/>
      <c r="K43" s="82"/>
      <c r="L43" s="86"/>
      <c r="M43" s="87"/>
      <c r="N43" s="34"/>
      <c r="O43" s="34"/>
      <c r="P43" s="34"/>
      <c r="Q43" s="7"/>
      <c r="R43" s="7"/>
      <c r="S43" s="7"/>
    </row>
    <row r="44" spans="3:22" ht="21.6" customHeight="1">
      <c r="D44" s="84">
        <v>38419</v>
      </c>
      <c r="E44" s="82"/>
      <c r="F44" s="82"/>
      <c r="G44" s="86"/>
      <c r="H44" s="85"/>
      <c r="I44" s="84">
        <v>38436</v>
      </c>
      <c r="J44" s="82"/>
      <c r="K44" s="82"/>
      <c r="L44" s="86"/>
      <c r="M44" s="87"/>
      <c r="N44" s="34"/>
      <c r="O44" s="34"/>
      <c r="P44" s="34"/>
    </row>
    <row r="45" spans="3:22" ht="21.6" customHeight="1">
      <c r="D45" s="84">
        <v>38420</v>
      </c>
      <c r="E45" s="82"/>
      <c r="F45" s="82"/>
      <c r="G45" s="86"/>
      <c r="H45" s="85"/>
      <c r="I45" s="84">
        <v>38437</v>
      </c>
      <c r="J45" s="82"/>
      <c r="K45" s="82"/>
      <c r="L45" s="86"/>
      <c r="M45" s="87"/>
      <c r="N45" s="34"/>
      <c r="O45" s="34"/>
      <c r="P45" s="34"/>
    </row>
    <row r="46" spans="3:22" ht="21.6" customHeight="1">
      <c r="D46" s="84">
        <v>38421</v>
      </c>
      <c r="E46" s="82"/>
      <c r="F46" s="82"/>
      <c r="G46" s="86"/>
      <c r="H46" s="85"/>
      <c r="I46" s="84">
        <v>38438</v>
      </c>
      <c r="J46" s="82"/>
      <c r="K46" s="82"/>
      <c r="L46" s="86"/>
      <c r="M46" s="87"/>
      <c r="N46" s="34"/>
      <c r="O46" s="34"/>
      <c r="P46" s="34"/>
    </row>
  </sheetData>
  <sheetProtection sheet="1" objects="1" scenarios="1" selectLockedCells="1"/>
  <mergeCells count="3">
    <mergeCell ref="E26:K26"/>
    <mergeCell ref="E27:G27"/>
    <mergeCell ref="C3:F3"/>
  </mergeCells>
  <phoneticPr fontId="9" type="noConversion"/>
  <conditionalFormatting sqref="Q30:Q34">
    <cfRule type="expression" dxfId="5" priority="2">
      <formula>$R$23=1</formula>
    </cfRule>
  </conditionalFormatting>
  <conditionalFormatting sqref="R30:V34">
    <cfRule type="expression" dxfId="4" priority="1">
      <formula>$R$23=1</formula>
    </cfRule>
  </conditionalFormatting>
  <dataValidations xWindow="807" yWindow="637" count="2">
    <dataValidation type="list" allowBlank="1" showInputMessage="1" showErrorMessage="1" sqref="R30" xr:uid="{70E075A7-C4EF-486A-BDDC-9FE0A9773523}">
      <formula1>"DEPENDENTE,ALIMENTANDO"</formula1>
    </dataValidation>
    <dataValidation type="list" showInputMessage="1" showErrorMessage="1" sqref="R22" xr:uid="{C5362A09-83C2-44E9-975F-DCC8F7400E26}">
      <formula1>"SIM,NÃO"</formula1>
    </dataValidation>
  </dataValidations>
  <pageMargins left="0.7" right="0.7" top="0.75" bottom="0.75" header="0.3" footer="0.3"/>
  <pageSetup paperSize="0" orientation="portrait" horizontalDpi="0" verticalDpi="0" copies="0"/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807" yWindow="637" count="4">
        <x14:dataValidation type="list" allowBlank="1" showInputMessage="1" showErrorMessage="1" errorTitle="ERRO!" error="Digite um tipo Valido." promptTitle="Instrução" prompt="Insira um tipo de Rendimento (Tributavel, Isento, Exclusivo)" xr:uid="{E253AA4F-28D9-4326-A635-A8FC852E608C}">
          <x14:formula1>
            <xm:f>Planilha1!$B$74:$B$96</xm:f>
          </x14:formula1>
          <xm:sqref>F7:F23 F30:F46 K30:K46 K7:K23</xm:sqref>
        </x14:dataValidation>
        <x14:dataValidation type="list" allowBlank="1" showInputMessage="1" showErrorMessage="1" errorTitle="ERRO!" error="Digite um tipo Valido." promptTitle="Instrução" prompt="Insira um tipo de Rendimento (Tributavel, Isento, Exclusivo)" xr:uid="{44A65D35-FF73-4F1F-A339-70492A7A3348}">
          <x14:formula1>
            <xm:f>Planilha1!$B$74:$B$97</xm:f>
          </x14:formula1>
          <xm:sqref>E7:E23 J7:J23</xm:sqref>
        </x14:dataValidation>
        <x14:dataValidation type="list" allowBlank="1" showInputMessage="1" showErrorMessage="1" errorTitle="ERRO!" error="Digite um tipo Valido." promptTitle="Instrução" prompt="Insira um Despesa (Dedutiva ou Incentivada)" xr:uid="{02449F54-58A0-4F9D-91F2-23EAEEC9E496}">
          <x14:formula1>
            <xm:f>Planilha1!$B$99:$B$115</xm:f>
          </x14:formula1>
          <xm:sqref>E30:E46 J30:J46</xm:sqref>
        </x14:dataValidation>
        <x14:dataValidation type="list" allowBlank="1" showInputMessage="1" showErrorMessage="1" errorTitle="ERRO" error="Escolha um BENEFICIADO EXISTENTE!!!" promptTitle="Instrução" prompt="Escolha o tipo de BENEFICIADO" xr:uid="{EAD438B8-4EBC-466F-BEE9-43979BBA2074}">
          <x14:formula1>
            <xm:f>Planilha1!$C$54:$C$57</xm:f>
          </x14:formula1>
          <xm:sqref>G30 L30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244F-E2B8-442C-800B-AD4A7C7B1A34}">
  <sheetPr>
    <pageSetUpPr autoPageBreaks="0"/>
  </sheetPr>
  <dimension ref="A1:U42"/>
  <sheetViews>
    <sheetView showGridLines="0" workbookViewId="0">
      <selection activeCell="H10" activeCellId="6" sqref="E7:E10 E12:E15 E17:E19 E20 H17:H20 H12:H15 H7:H10"/>
    </sheetView>
  </sheetViews>
  <sheetFormatPr defaultRowHeight="16.8"/>
  <cols>
    <col min="1" max="1" width="35" style="2" customWidth="1"/>
    <col min="2" max="2" width="0.77734375" style="4" customWidth="1"/>
    <col min="3" max="3" width="8.88671875" style="28"/>
    <col min="4" max="4" width="27.33203125" style="28" bestFit="1" customWidth="1"/>
    <col min="5" max="5" width="33.44140625" style="28" customWidth="1"/>
    <col min="6" max="6" width="17.5546875" style="28" bestFit="1" customWidth="1"/>
    <col min="7" max="7" width="27.33203125" style="28" bestFit="1" customWidth="1"/>
    <col min="8" max="8" width="33.44140625" style="28" customWidth="1"/>
    <col min="9" max="12" width="8.88671875" style="28"/>
    <col min="13" max="13" width="12" style="28" bestFit="1" customWidth="1"/>
    <col min="14" max="21" width="8.88671875" style="28"/>
  </cols>
  <sheetData>
    <row r="1" spans="1:21" s="5" customFormat="1" ht="14.4" customHeight="1">
      <c r="A1" s="2"/>
      <c r="B1" s="4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s="5" customFormat="1" ht="15" customHeight="1">
      <c r="A2" s="2"/>
      <c r="B2" s="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s="1" customFormat="1" ht="20.399999999999999">
      <c r="A3" s="2"/>
      <c r="B3" s="4"/>
      <c r="C3" s="101" t="s">
        <v>160</v>
      </c>
      <c r="D3" s="101"/>
      <c r="E3" s="101"/>
      <c r="F3" s="101"/>
      <c r="G3" s="53"/>
      <c r="H3" s="54"/>
      <c r="I3" s="39"/>
      <c r="J3" s="39"/>
      <c r="K3" s="39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>
      <c r="E4" s="5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21" ht="19.2" customHeight="1">
      <c r="D5" s="80" t="s">
        <v>210</v>
      </c>
      <c r="E5" s="81">
        <f>SUM(E9,H9,E14,H14,E19,H19)</f>
        <v>0</v>
      </c>
      <c r="F5" s="34"/>
      <c r="G5" s="66" t="s">
        <v>211</v>
      </c>
      <c r="H5" s="52">
        <f>SUM(E10,H10,E15,H15,H20,E20)</f>
        <v>0</v>
      </c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21" ht="10.8" customHeight="1" thickBot="1"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21" ht="19.2" customHeight="1">
      <c r="A7" s="3"/>
      <c r="D7" s="76" t="s">
        <v>161</v>
      </c>
      <c r="E7" s="88"/>
      <c r="F7" s="44"/>
      <c r="G7" s="76" t="s">
        <v>161</v>
      </c>
      <c r="H7" s="88"/>
      <c r="I7" s="44"/>
      <c r="J7" s="44"/>
      <c r="K7" s="34"/>
      <c r="L7" s="35"/>
      <c r="M7" s="36"/>
      <c r="N7" s="34"/>
      <c r="O7" s="34"/>
      <c r="P7" s="34"/>
      <c r="Q7" s="34"/>
      <c r="R7" s="34"/>
    </row>
    <row r="8" spans="1:21" ht="19.2" customHeight="1">
      <c r="A8" s="10"/>
      <c r="D8" s="71" t="s">
        <v>60</v>
      </c>
      <c r="E8" s="89"/>
      <c r="F8" s="34"/>
      <c r="G8" s="71" t="s">
        <v>60</v>
      </c>
      <c r="H8" s="89"/>
      <c r="I8" s="34"/>
      <c r="J8" s="34"/>
      <c r="K8" s="34"/>
      <c r="L8" s="35"/>
      <c r="M8" s="36"/>
      <c r="N8" s="34"/>
      <c r="O8" s="34"/>
      <c r="P8" s="34"/>
      <c r="Q8" s="34"/>
      <c r="R8" s="34"/>
    </row>
    <row r="9" spans="1:21" ht="19.2" customHeight="1">
      <c r="D9" s="71" t="s">
        <v>163</v>
      </c>
      <c r="E9" s="90"/>
      <c r="F9" s="34"/>
      <c r="G9" s="71" t="s">
        <v>163</v>
      </c>
      <c r="H9" s="90"/>
      <c r="I9" s="34"/>
      <c r="J9" s="34"/>
      <c r="K9" s="34"/>
      <c r="L9" s="35"/>
      <c r="M9" s="36"/>
      <c r="N9" s="34"/>
      <c r="O9" s="34"/>
      <c r="P9" s="34"/>
      <c r="Q9" s="34"/>
      <c r="R9" s="34"/>
    </row>
    <row r="10" spans="1:21" ht="19.2" customHeight="1">
      <c r="D10" s="71" t="s">
        <v>162</v>
      </c>
      <c r="E10" s="90"/>
      <c r="F10" s="34"/>
      <c r="G10" s="71" t="s">
        <v>162</v>
      </c>
      <c r="H10" s="90"/>
      <c r="I10" s="34"/>
      <c r="J10" s="34"/>
      <c r="K10" s="34"/>
      <c r="L10" s="35"/>
      <c r="M10" s="36"/>
      <c r="N10" s="34"/>
      <c r="O10" s="34"/>
      <c r="P10" s="34"/>
      <c r="Q10" s="34"/>
      <c r="R10" s="34"/>
    </row>
    <row r="11" spans="1:21" ht="19.2" customHeight="1" thickBot="1">
      <c r="E11" s="36"/>
      <c r="F11" s="34"/>
      <c r="G11" s="34"/>
      <c r="H11" s="34"/>
      <c r="I11" s="34"/>
      <c r="J11" s="34"/>
      <c r="K11" s="34"/>
      <c r="L11" s="35"/>
      <c r="M11" s="36"/>
      <c r="N11" s="34"/>
      <c r="O11" s="34"/>
      <c r="P11" s="34"/>
      <c r="Q11" s="34"/>
      <c r="R11" s="34"/>
    </row>
    <row r="12" spans="1:21" ht="19.2" customHeight="1">
      <c r="D12" s="76" t="s">
        <v>161</v>
      </c>
      <c r="E12" s="88"/>
      <c r="F12" s="34"/>
      <c r="G12" s="76" t="s">
        <v>161</v>
      </c>
      <c r="H12" s="88"/>
      <c r="I12" s="34"/>
      <c r="J12" s="34"/>
      <c r="K12" s="34"/>
      <c r="L12" s="35"/>
      <c r="M12" s="36"/>
      <c r="N12" s="34"/>
      <c r="O12" s="34"/>
      <c r="P12" s="34"/>
      <c r="Q12" s="34"/>
      <c r="R12" s="34"/>
    </row>
    <row r="13" spans="1:21" ht="19.2" customHeight="1">
      <c r="D13" s="71" t="s">
        <v>60</v>
      </c>
      <c r="E13" s="89"/>
      <c r="F13" s="34"/>
      <c r="G13" s="71" t="s">
        <v>60</v>
      </c>
      <c r="H13" s="89"/>
      <c r="I13" s="34"/>
      <c r="J13" s="34"/>
      <c r="K13" s="34"/>
      <c r="L13" s="35"/>
      <c r="M13" s="36"/>
      <c r="N13" s="34"/>
      <c r="O13" s="34"/>
      <c r="P13" s="34"/>
      <c r="Q13" s="34"/>
      <c r="R13" s="34"/>
    </row>
    <row r="14" spans="1:21" ht="19.2" customHeight="1">
      <c r="D14" s="71" t="s">
        <v>163</v>
      </c>
      <c r="E14" s="90"/>
      <c r="F14" s="34"/>
      <c r="G14" s="71" t="s">
        <v>163</v>
      </c>
      <c r="H14" s="90"/>
      <c r="I14" s="34"/>
      <c r="J14" s="34"/>
      <c r="K14" s="34"/>
      <c r="L14" s="35"/>
      <c r="M14" s="36"/>
      <c r="N14" s="34"/>
      <c r="O14" s="34"/>
      <c r="P14" s="34"/>
      <c r="Q14" s="34"/>
      <c r="R14" s="34"/>
    </row>
    <row r="15" spans="1:21" ht="19.2" customHeight="1">
      <c r="D15" s="71" t="s">
        <v>162</v>
      </c>
      <c r="E15" s="90"/>
      <c r="F15" s="34"/>
      <c r="G15" s="71" t="s">
        <v>162</v>
      </c>
      <c r="H15" s="90"/>
      <c r="I15" s="34"/>
      <c r="J15" s="34"/>
      <c r="K15" s="34"/>
      <c r="L15" s="35"/>
      <c r="M15" s="36"/>
      <c r="N15" s="34"/>
      <c r="O15" s="34"/>
      <c r="P15" s="34"/>
      <c r="Q15" s="34"/>
      <c r="R15" s="34"/>
    </row>
    <row r="16" spans="1:21" ht="19.2" customHeight="1" thickBot="1">
      <c r="E16" s="36"/>
      <c r="F16" s="34"/>
      <c r="G16" s="34"/>
      <c r="H16" s="34"/>
      <c r="I16" s="34"/>
      <c r="J16" s="34"/>
      <c r="K16" s="34"/>
      <c r="L16" s="35"/>
      <c r="M16" s="36"/>
      <c r="N16" s="34"/>
      <c r="O16" s="34"/>
      <c r="P16" s="34"/>
      <c r="Q16" s="34"/>
      <c r="R16" s="34"/>
    </row>
    <row r="17" spans="1:21" ht="19.2" customHeight="1">
      <c r="D17" s="76" t="s">
        <v>161</v>
      </c>
      <c r="E17" s="88"/>
      <c r="F17" s="34"/>
      <c r="G17" s="76" t="s">
        <v>161</v>
      </c>
      <c r="H17" s="88"/>
      <c r="I17" s="34"/>
      <c r="J17" s="34"/>
      <c r="K17" s="34"/>
      <c r="L17" s="35"/>
      <c r="M17" s="36"/>
      <c r="N17" s="34"/>
      <c r="O17" s="34"/>
      <c r="P17" s="34"/>
      <c r="Q17" s="34"/>
      <c r="R17" s="34"/>
    </row>
    <row r="18" spans="1:21" ht="19.2" customHeight="1">
      <c r="D18" s="71" t="s">
        <v>60</v>
      </c>
      <c r="E18" s="89"/>
      <c r="F18" s="34"/>
      <c r="G18" s="71" t="s">
        <v>60</v>
      </c>
      <c r="H18" s="89"/>
      <c r="I18" s="34"/>
      <c r="J18" s="34"/>
      <c r="K18" s="34"/>
      <c r="L18" s="35"/>
      <c r="M18" s="36"/>
      <c r="N18" s="34"/>
      <c r="O18" s="34"/>
      <c r="P18" s="34"/>
      <c r="Q18" s="34"/>
      <c r="R18" s="34"/>
    </row>
    <row r="19" spans="1:21" ht="19.2" customHeight="1">
      <c r="D19" s="71" t="s">
        <v>163</v>
      </c>
      <c r="E19" s="90"/>
      <c r="F19" s="34"/>
      <c r="G19" s="71" t="s">
        <v>163</v>
      </c>
      <c r="H19" s="90"/>
      <c r="I19" s="34"/>
      <c r="J19" s="34"/>
      <c r="K19" s="34"/>
      <c r="L19" s="35"/>
      <c r="M19" s="36"/>
      <c r="N19" s="34"/>
      <c r="O19" s="34"/>
      <c r="P19" s="34"/>
      <c r="Q19" s="34"/>
      <c r="R19" s="34"/>
    </row>
    <row r="20" spans="1:21" ht="19.2" customHeight="1">
      <c r="D20" s="71" t="s">
        <v>162</v>
      </c>
      <c r="E20" s="90"/>
      <c r="F20" s="34"/>
      <c r="G20" s="71" t="s">
        <v>162</v>
      </c>
      <c r="H20" s="90"/>
      <c r="I20" s="34"/>
      <c r="J20" s="34"/>
      <c r="K20" s="34"/>
      <c r="L20" s="35"/>
      <c r="M20" s="34"/>
      <c r="N20" s="34"/>
      <c r="O20" s="34"/>
      <c r="P20" s="34"/>
      <c r="Q20" s="34"/>
      <c r="R20" s="34"/>
    </row>
    <row r="21" spans="1:21" ht="19.2" customHeight="1">
      <c r="E21" s="34"/>
      <c r="F21" s="34"/>
      <c r="G21" s="34"/>
      <c r="H21" s="34"/>
      <c r="I21" s="34"/>
      <c r="J21" s="34"/>
      <c r="K21" s="34"/>
      <c r="L21" s="35"/>
      <c r="M21" s="36"/>
      <c r="N21" s="34"/>
      <c r="O21" s="34"/>
      <c r="P21" s="34"/>
      <c r="Q21" s="34"/>
      <c r="R21" s="34"/>
    </row>
    <row r="22" spans="1:21" ht="21.6" customHeight="1">
      <c r="E22" s="34"/>
      <c r="F22" s="34"/>
      <c r="G22" s="34"/>
      <c r="H22" s="34"/>
      <c r="I22" s="34"/>
      <c r="J22" s="34"/>
      <c r="K22" s="34"/>
      <c r="L22" s="35"/>
      <c r="M22" s="36"/>
      <c r="N22" s="34"/>
      <c r="O22" s="34"/>
      <c r="P22" s="34"/>
      <c r="Q22" s="34"/>
      <c r="R22" s="34"/>
    </row>
    <row r="23" spans="1:21"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5" spans="1:21" s="7" customFormat="1" ht="20.399999999999999">
      <c r="A25" s="2"/>
      <c r="B25" s="4"/>
      <c r="C25" s="34"/>
      <c r="D25" s="34"/>
      <c r="E25" s="65"/>
      <c r="F25" s="65"/>
      <c r="G25" s="65"/>
      <c r="H25" s="66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>
      <c r="E26" s="55"/>
      <c r="F26" s="34"/>
      <c r="G26" s="34"/>
      <c r="H26" s="34"/>
      <c r="I26" s="34"/>
      <c r="J26" s="34"/>
      <c r="K26" s="34"/>
    </row>
    <row r="27" spans="1:21">
      <c r="E27" s="32"/>
      <c r="F27" s="33"/>
      <c r="G27" s="33"/>
      <c r="H27" s="33"/>
      <c r="I27" s="33"/>
      <c r="J27" s="33"/>
      <c r="K27" s="33"/>
    </row>
    <row r="29" spans="1:21" ht="21.6" customHeight="1">
      <c r="C29" s="50"/>
      <c r="D29" s="50"/>
      <c r="E29" s="95" t="str">
        <f>IF($M$22=1,"1º  DEPENDENTES","")</f>
        <v/>
      </c>
      <c r="F29" s="34"/>
      <c r="G29" s="34"/>
      <c r="H29" s="34"/>
      <c r="I29" s="34"/>
      <c r="J29" s="34"/>
      <c r="K29" s="34"/>
      <c r="L29" s="35" t="str">
        <f>IF(M22=1,"TIPO","")</f>
        <v/>
      </c>
      <c r="M29" s="36"/>
      <c r="N29" s="34"/>
      <c r="O29" s="34"/>
      <c r="P29" s="34"/>
      <c r="Q29" s="34"/>
    </row>
    <row r="30" spans="1:21" ht="21.6" customHeight="1">
      <c r="C30" s="50"/>
      <c r="D30" s="50"/>
      <c r="E30" s="95"/>
      <c r="F30" s="34"/>
      <c r="G30" s="34"/>
      <c r="H30" s="34"/>
      <c r="I30" s="34"/>
      <c r="J30" s="34"/>
      <c r="K30" s="34"/>
      <c r="L30" s="35" t="str">
        <f>IF($M$22=1,"GRAU DE PARENTESCO (FILHO, CÔNJUGE, PAIS, ETC.)","")</f>
        <v/>
      </c>
      <c r="M30" s="36"/>
      <c r="N30" s="34"/>
      <c r="O30" s="34"/>
      <c r="P30" s="34"/>
      <c r="Q30" s="34"/>
    </row>
    <row r="31" spans="1:21" ht="21.6" customHeight="1">
      <c r="C31" s="50"/>
      <c r="D31" s="50"/>
      <c r="E31" s="95"/>
      <c r="F31" s="34"/>
      <c r="G31" s="34"/>
      <c r="H31" s="34"/>
      <c r="I31" s="34"/>
      <c r="J31" s="34"/>
      <c r="K31" s="34"/>
      <c r="L31" s="35" t="str">
        <f>IF($M$22=1,"NOME COMPLETO","")</f>
        <v/>
      </c>
      <c r="M31" s="36"/>
      <c r="N31" s="34"/>
      <c r="O31" s="34"/>
      <c r="P31" s="34"/>
      <c r="Q31" s="34"/>
    </row>
    <row r="32" spans="1:21" ht="21.6" customHeight="1">
      <c r="C32" s="50"/>
      <c r="D32" s="50"/>
      <c r="E32" s="95"/>
      <c r="F32" s="34"/>
      <c r="G32" s="34"/>
      <c r="H32" s="34"/>
      <c r="I32" s="34"/>
      <c r="J32" s="34"/>
      <c r="K32" s="34"/>
      <c r="L32" s="35" t="str">
        <f>IF($M$22=1,"CPF (OBRIGATÓRIO PARA TODAS AS IDADES)","")</f>
        <v/>
      </c>
      <c r="M32" s="36"/>
      <c r="N32" s="34"/>
      <c r="O32" s="34"/>
      <c r="P32" s="34"/>
      <c r="Q32" s="34"/>
    </row>
    <row r="33" spans="3:17" ht="21.6" customHeight="1">
      <c r="C33" s="50"/>
      <c r="D33" s="50"/>
      <c r="E33" s="95"/>
      <c r="F33" s="34"/>
      <c r="G33" s="34"/>
      <c r="H33" s="34"/>
      <c r="I33" s="34"/>
      <c r="J33" s="34"/>
      <c r="K33" s="34"/>
      <c r="L33" s="35" t="str">
        <f>IF($M$22=1,"DATA DE NASCIMENTO","")</f>
        <v/>
      </c>
      <c r="M33" s="36"/>
      <c r="N33" s="34"/>
      <c r="O33" s="34"/>
      <c r="P33" s="34"/>
      <c r="Q33" s="34"/>
    </row>
    <row r="34" spans="3:17">
      <c r="C34" s="50"/>
      <c r="D34" s="50"/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spans="3:17">
      <c r="C35" s="50"/>
      <c r="D35" s="50"/>
      <c r="E35" s="34"/>
      <c r="F35" s="34"/>
      <c r="G35" s="34"/>
      <c r="H35" s="34"/>
      <c r="I35" s="34"/>
      <c r="J35" s="34"/>
      <c r="K35" s="34"/>
      <c r="L35" s="35"/>
      <c r="M35" s="34"/>
      <c r="N35" s="34"/>
    </row>
    <row r="36" spans="3:17">
      <c r="C36" s="50"/>
      <c r="D36" s="50"/>
      <c r="E36" s="34"/>
      <c r="F36" s="34"/>
      <c r="G36" s="34"/>
      <c r="H36" s="34"/>
      <c r="I36" s="34"/>
      <c r="J36" s="34"/>
      <c r="K36" s="34"/>
      <c r="L36" s="35"/>
      <c r="M36" s="34"/>
      <c r="N36" s="34"/>
    </row>
    <row r="37" spans="3:17">
      <c r="C37" s="50"/>
      <c r="D37" s="50"/>
      <c r="E37" s="34"/>
      <c r="F37" s="34"/>
      <c r="G37" s="34"/>
      <c r="H37" s="34"/>
      <c r="I37" s="34"/>
      <c r="J37" s="34"/>
      <c r="K37" s="34"/>
      <c r="L37" s="35"/>
      <c r="M37" s="34"/>
      <c r="N37" s="34"/>
    </row>
    <row r="38" spans="3:17">
      <c r="C38" s="50"/>
      <c r="D38" s="50"/>
      <c r="E38" s="34"/>
      <c r="F38" s="34"/>
      <c r="G38" s="34"/>
      <c r="H38" s="34"/>
      <c r="I38" s="34"/>
      <c r="J38" s="34"/>
      <c r="K38" s="34"/>
      <c r="L38" s="35"/>
      <c r="M38" s="34"/>
      <c r="N38" s="34"/>
    </row>
    <row r="39" spans="3:17">
      <c r="C39" s="50"/>
      <c r="D39" s="50"/>
      <c r="E39" s="34"/>
      <c r="F39" s="34"/>
      <c r="G39" s="34"/>
      <c r="H39" s="34"/>
      <c r="I39" s="34"/>
      <c r="J39" s="34"/>
      <c r="K39" s="34"/>
      <c r="L39" s="35"/>
      <c r="M39" s="34"/>
      <c r="N39" s="34"/>
    </row>
    <row r="40" spans="3:17">
      <c r="C40" s="50"/>
      <c r="D40" s="50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3:17">
      <c r="C41" s="50"/>
      <c r="D41" s="50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3:17">
      <c r="C42" s="50"/>
      <c r="D42" s="50"/>
      <c r="E42" s="34"/>
      <c r="F42" s="34"/>
      <c r="G42" s="34"/>
      <c r="H42" s="34"/>
      <c r="I42" s="34"/>
      <c r="J42" s="34"/>
      <c r="K42" s="34"/>
      <c r="L42" s="34"/>
      <c r="M42" s="34"/>
      <c r="N42" s="34"/>
    </row>
  </sheetData>
  <sheetProtection sheet="1" objects="1" scenarios="1" selectLockedCells="1"/>
  <mergeCells count="2">
    <mergeCell ref="E29:E33"/>
    <mergeCell ref="C3:F3"/>
  </mergeCells>
  <conditionalFormatting sqref="F29:L33">
    <cfRule type="expression" dxfId="3" priority="2">
      <formula>$M$22=1</formula>
    </cfRule>
  </conditionalFormatting>
  <conditionalFormatting sqref="M29:Q33">
    <cfRule type="expression" dxfId="2" priority="1">
      <formula>$M$22=1</formula>
    </cfRule>
  </conditionalFormatting>
  <dataValidations disablePrompts="1" count="2">
    <dataValidation type="list" allowBlank="1" showInputMessage="1" showErrorMessage="1" sqref="M29" xr:uid="{09B7E7E4-3060-42BD-8F89-2E8F87D40B0C}">
      <formula1>"DEPENDENTE,ALIMENTANDO"</formula1>
    </dataValidation>
    <dataValidation type="list" showInputMessage="1" showErrorMessage="1" sqref="M21" xr:uid="{50CEA34A-5F74-45D8-AD2D-B8C4AE32DDFF}">
      <formula1>"SIM,NÃO"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1537-2607-4C3F-B9D8-4F1264E73D1A}">
  <sheetPr>
    <pageSetUpPr autoPageBreaks="0"/>
  </sheetPr>
  <dimension ref="A1:U71"/>
  <sheetViews>
    <sheetView showGridLines="0" topLeftCell="A2" workbookViewId="0">
      <selection activeCell="K16" sqref="K16:O16"/>
    </sheetView>
  </sheetViews>
  <sheetFormatPr defaultRowHeight="16.8"/>
  <cols>
    <col min="1" max="1" width="35" style="2" customWidth="1"/>
    <col min="2" max="2" width="0.77734375" style="4" customWidth="1"/>
    <col min="3" max="12" width="8.88671875" style="28"/>
    <col min="13" max="13" width="12" style="28" bestFit="1" customWidth="1"/>
    <col min="14" max="18" width="8.88671875" style="28"/>
    <col min="19" max="19" width="12.21875" style="28" bestFit="1" customWidth="1"/>
    <col min="20" max="21" width="8.88671875" style="28"/>
  </cols>
  <sheetData>
    <row r="1" spans="1:21" s="5" customFormat="1" ht="14.4" customHeight="1">
      <c r="A1" s="2"/>
      <c r="B1" s="4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s="5" customFormat="1" ht="15" customHeight="1">
      <c r="A2" s="2"/>
      <c r="B2" s="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s="1" customFormat="1" ht="20.399999999999999">
      <c r="A3" s="2"/>
      <c r="B3" s="4"/>
      <c r="C3" s="107" t="s">
        <v>108</v>
      </c>
      <c r="D3" s="107"/>
      <c r="E3" s="107"/>
      <c r="F3" s="107"/>
      <c r="G3" s="107"/>
      <c r="H3" s="107"/>
      <c r="I3" s="107"/>
      <c r="J3" s="39"/>
      <c r="K3" s="39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>
      <c r="E4" s="55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21" ht="19.2" customHeight="1"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21" ht="10.8" customHeight="1">
      <c r="E6" s="3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</row>
    <row r="7" spans="1:21" ht="19.2" customHeight="1">
      <c r="A7" s="3"/>
      <c r="E7" s="36"/>
      <c r="F7" s="103" t="s">
        <v>95</v>
      </c>
      <c r="G7" s="103"/>
      <c r="H7" s="103"/>
      <c r="I7" s="103"/>
      <c r="J7" s="103"/>
      <c r="K7" s="34"/>
      <c r="L7" s="35"/>
      <c r="M7" s="36"/>
      <c r="N7" s="34"/>
      <c r="O7" s="34"/>
      <c r="P7" s="34"/>
      <c r="Q7" s="34"/>
      <c r="R7" s="34"/>
    </row>
    <row r="8" spans="1:21" ht="19.2" customHeight="1">
      <c r="A8" s="10"/>
      <c r="E8" s="36"/>
      <c r="F8" s="104" t="s">
        <v>105</v>
      </c>
      <c r="G8" s="104"/>
      <c r="H8" s="104"/>
      <c r="I8" s="104"/>
      <c r="J8" s="104"/>
      <c r="K8" s="105" t="s">
        <v>159</v>
      </c>
      <c r="L8" s="105"/>
      <c r="M8" s="105"/>
      <c r="N8" s="105"/>
      <c r="O8" s="105"/>
      <c r="P8" s="34"/>
      <c r="Q8" s="34"/>
      <c r="R8" s="34"/>
    </row>
    <row r="9" spans="1:21" ht="19.2" customHeight="1">
      <c r="E9" s="36"/>
      <c r="F9" s="104" t="s">
        <v>96</v>
      </c>
      <c r="G9" s="104"/>
      <c r="H9" s="104"/>
      <c r="I9" s="104"/>
      <c r="J9" s="104"/>
      <c r="K9" s="106" t="s">
        <v>110</v>
      </c>
      <c r="L9" s="106"/>
      <c r="M9" s="106"/>
      <c r="N9" s="106"/>
      <c r="O9" s="106"/>
      <c r="P9" s="34"/>
      <c r="Q9" s="34"/>
      <c r="R9" s="67" t="s">
        <v>30</v>
      </c>
      <c r="S9" s="68">
        <f>SUM(K13,K21)</f>
        <v>162000</v>
      </c>
    </row>
    <row r="10" spans="1:21" ht="19.2" customHeight="1">
      <c r="E10" s="36"/>
      <c r="F10" s="104" t="s">
        <v>104</v>
      </c>
      <c r="G10" s="104"/>
      <c r="H10" s="104"/>
      <c r="I10" s="104"/>
      <c r="J10" s="104"/>
      <c r="K10" s="105"/>
      <c r="L10" s="105"/>
      <c r="M10" s="105"/>
      <c r="N10" s="105"/>
      <c r="O10" s="105"/>
      <c r="P10" s="34"/>
      <c r="Q10" s="34"/>
      <c r="R10" s="34"/>
    </row>
    <row r="11" spans="1:21" ht="19.2" customHeight="1">
      <c r="E11" s="36"/>
      <c r="F11" s="104" t="s">
        <v>103</v>
      </c>
      <c r="G11" s="104"/>
      <c r="H11" s="104"/>
      <c r="I11" s="104"/>
      <c r="J11" s="104"/>
      <c r="K11" s="105"/>
      <c r="L11" s="105"/>
      <c r="M11" s="105"/>
      <c r="N11" s="105"/>
      <c r="O11" s="105"/>
      <c r="P11" s="34"/>
      <c r="Q11" s="34"/>
      <c r="R11" s="34"/>
    </row>
    <row r="12" spans="1:21" ht="19.2" customHeight="1">
      <c r="E12" s="36"/>
      <c r="F12" s="104" t="s">
        <v>97</v>
      </c>
      <c r="G12" s="104"/>
      <c r="H12" s="104"/>
      <c r="I12" s="104"/>
      <c r="J12" s="104"/>
      <c r="K12" s="105"/>
      <c r="L12" s="105"/>
      <c r="M12" s="105"/>
      <c r="N12" s="105"/>
      <c r="O12" s="105"/>
      <c r="P12" s="34"/>
      <c r="Q12" s="34"/>
      <c r="R12" s="34"/>
    </row>
    <row r="13" spans="1:21" ht="19.2" customHeight="1">
      <c r="E13" s="36"/>
      <c r="F13" s="104" t="s">
        <v>106</v>
      </c>
      <c r="G13" s="104"/>
      <c r="H13" s="104"/>
      <c r="I13" s="104"/>
      <c r="J13" s="104"/>
      <c r="K13" s="102">
        <v>150000</v>
      </c>
      <c r="L13" s="102"/>
      <c r="M13" s="102"/>
      <c r="N13" s="102"/>
      <c r="O13" s="102"/>
      <c r="P13" s="34"/>
      <c r="Q13" s="34"/>
      <c r="R13" s="34"/>
    </row>
    <row r="14" spans="1:21" ht="19.2" customHeight="1">
      <c r="E14" s="36"/>
      <c r="F14" s="34"/>
      <c r="G14" s="34"/>
      <c r="H14" s="34"/>
      <c r="I14" s="34"/>
      <c r="J14" s="34"/>
      <c r="K14" s="34"/>
      <c r="L14" s="35"/>
      <c r="M14" s="36"/>
      <c r="N14" s="34"/>
      <c r="O14" s="34"/>
      <c r="P14" s="34"/>
      <c r="Q14" s="34"/>
      <c r="R14" s="34"/>
    </row>
    <row r="15" spans="1:21" ht="19.2" customHeight="1">
      <c r="E15" s="36"/>
      <c r="F15" s="103" t="s">
        <v>107</v>
      </c>
      <c r="G15" s="103"/>
      <c r="H15" s="103"/>
      <c r="I15" s="103"/>
      <c r="J15" s="103"/>
      <c r="K15" s="34"/>
      <c r="L15" s="35"/>
      <c r="M15" s="36"/>
      <c r="N15" s="34"/>
      <c r="O15" s="34"/>
      <c r="P15" s="34"/>
      <c r="Q15" s="34"/>
      <c r="R15" s="34"/>
    </row>
    <row r="16" spans="1:21" ht="19.2" customHeight="1">
      <c r="E16" s="36"/>
      <c r="F16" s="104" t="s">
        <v>105</v>
      </c>
      <c r="G16" s="104"/>
      <c r="H16" s="104"/>
      <c r="I16" s="104"/>
      <c r="J16" s="104"/>
      <c r="K16" s="105" t="s">
        <v>159</v>
      </c>
      <c r="L16" s="105"/>
      <c r="M16" s="105"/>
      <c r="N16" s="105"/>
      <c r="O16" s="105"/>
      <c r="P16" s="34"/>
      <c r="Q16" s="34"/>
      <c r="R16" s="34"/>
    </row>
    <row r="17" spans="1:21" ht="19.2" customHeight="1">
      <c r="E17" s="36"/>
      <c r="F17" s="104" t="s">
        <v>96</v>
      </c>
      <c r="G17" s="104"/>
      <c r="H17" s="104"/>
      <c r="I17" s="104"/>
      <c r="J17" s="104"/>
      <c r="K17" s="106" t="s">
        <v>110</v>
      </c>
      <c r="L17" s="106"/>
      <c r="M17" s="106"/>
      <c r="N17" s="106"/>
      <c r="O17" s="106"/>
      <c r="P17" s="34"/>
      <c r="Q17" s="34"/>
      <c r="R17" s="34"/>
    </row>
    <row r="18" spans="1:21" ht="19.2" customHeight="1">
      <c r="E18" s="36"/>
      <c r="F18" s="104" t="s">
        <v>104</v>
      </c>
      <c r="G18" s="104"/>
      <c r="H18" s="104"/>
      <c r="I18" s="104"/>
      <c r="J18" s="104"/>
      <c r="K18" s="105"/>
      <c r="L18" s="105"/>
      <c r="M18" s="105"/>
      <c r="N18" s="105"/>
      <c r="O18" s="105"/>
      <c r="P18" s="34"/>
      <c r="Q18" s="34"/>
      <c r="R18" s="34"/>
    </row>
    <row r="19" spans="1:21" ht="19.2" customHeight="1">
      <c r="E19" s="36"/>
      <c r="F19" s="104" t="s">
        <v>103</v>
      </c>
      <c r="G19" s="104"/>
      <c r="H19" s="104"/>
      <c r="I19" s="104"/>
      <c r="J19" s="104"/>
      <c r="K19" s="105"/>
      <c r="L19" s="105"/>
      <c r="M19" s="105"/>
      <c r="N19" s="105"/>
      <c r="O19" s="105"/>
      <c r="P19" s="34"/>
      <c r="Q19" s="34"/>
      <c r="R19" s="34"/>
    </row>
    <row r="20" spans="1:21" ht="19.2" customHeight="1">
      <c r="E20" s="34"/>
      <c r="F20" s="104" t="s">
        <v>97</v>
      </c>
      <c r="G20" s="104"/>
      <c r="H20" s="104"/>
      <c r="I20" s="104"/>
      <c r="J20" s="104"/>
      <c r="K20" s="105"/>
      <c r="L20" s="105"/>
      <c r="M20" s="105"/>
      <c r="N20" s="105"/>
      <c r="O20" s="105"/>
      <c r="P20" s="34"/>
      <c r="Q20" s="34"/>
      <c r="R20" s="34"/>
    </row>
    <row r="21" spans="1:21" ht="19.2" customHeight="1">
      <c r="E21" s="34"/>
      <c r="F21" s="104" t="s">
        <v>106</v>
      </c>
      <c r="G21" s="104"/>
      <c r="H21" s="104"/>
      <c r="I21" s="104"/>
      <c r="J21" s="104"/>
      <c r="K21" s="102">
        <v>12000</v>
      </c>
      <c r="L21" s="102"/>
      <c r="M21" s="102"/>
      <c r="N21" s="102"/>
      <c r="O21" s="102"/>
      <c r="P21" s="34"/>
      <c r="Q21" s="34"/>
      <c r="R21" s="34"/>
    </row>
    <row r="22" spans="1:21" ht="21.6" customHeight="1">
      <c r="E22" s="34"/>
      <c r="F22" s="34"/>
      <c r="G22" s="34"/>
      <c r="H22" s="34"/>
      <c r="I22" s="34"/>
      <c r="J22" s="34"/>
      <c r="K22" s="34"/>
      <c r="L22" s="35"/>
      <c r="M22" s="36"/>
      <c r="N22" s="34"/>
      <c r="O22" s="34"/>
      <c r="P22" s="34"/>
      <c r="Q22" s="34"/>
      <c r="R22" s="34"/>
    </row>
    <row r="23" spans="1:21"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5" spans="1:21" s="8" customFormat="1" ht="20.399999999999999">
      <c r="A25" s="2"/>
      <c r="B25" s="4"/>
      <c r="C25" s="50"/>
      <c r="D25" s="50"/>
      <c r="E25" s="65"/>
      <c r="F25" s="65"/>
      <c r="G25" s="65"/>
      <c r="H25" s="66"/>
      <c r="I25" s="34"/>
      <c r="J25" s="34"/>
      <c r="K25" s="34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spans="1:21">
      <c r="E26" s="55"/>
      <c r="F26" s="34"/>
      <c r="G26" s="34"/>
      <c r="H26" s="34"/>
      <c r="I26" s="34"/>
      <c r="J26" s="34"/>
      <c r="K26" s="34"/>
    </row>
    <row r="27" spans="1:21">
      <c r="E27" s="32"/>
      <c r="F27" s="33"/>
      <c r="G27" s="33"/>
      <c r="H27" s="33"/>
      <c r="I27" s="33"/>
      <c r="J27" s="33"/>
      <c r="K27" s="33"/>
    </row>
    <row r="29" spans="1:21" ht="21.6" customHeight="1">
      <c r="C29" s="50"/>
      <c r="D29" s="50"/>
      <c r="E29" s="95" t="str">
        <f>IF($M$22=1,"1º  DEPENDENTES","")</f>
        <v/>
      </c>
      <c r="F29" s="34"/>
      <c r="G29" s="34"/>
      <c r="H29" s="34"/>
      <c r="I29" s="34"/>
      <c r="J29" s="34"/>
      <c r="K29" s="34"/>
      <c r="L29" s="35" t="str">
        <f>IF(M22=1,"TIPO","")</f>
        <v/>
      </c>
      <c r="M29" s="36"/>
      <c r="N29" s="34"/>
      <c r="O29" s="34"/>
      <c r="P29" s="34"/>
      <c r="Q29" s="34"/>
    </row>
    <row r="30" spans="1:21" ht="21.6" customHeight="1">
      <c r="C30" s="50"/>
      <c r="D30" s="50"/>
      <c r="E30" s="95"/>
      <c r="F30" s="56" t="s">
        <v>94</v>
      </c>
      <c r="G30" s="34"/>
      <c r="H30" s="34"/>
      <c r="I30" s="34"/>
      <c r="J30" s="34"/>
      <c r="K30" s="34"/>
      <c r="L30" s="35" t="str">
        <f>IF($M$22=1,"GRAU DE PARENTESCO (FILHO, CÔNJUGE, PAIS, ETC.)","")</f>
        <v/>
      </c>
      <c r="M30" s="36"/>
      <c r="N30" s="34"/>
      <c r="O30" s="34"/>
      <c r="P30" s="34"/>
      <c r="Q30" s="34"/>
    </row>
    <row r="31" spans="1:21" ht="21.6" customHeight="1">
      <c r="C31" s="50"/>
      <c r="D31" s="50"/>
      <c r="E31" s="95"/>
      <c r="F31" s="57"/>
      <c r="G31" s="34"/>
      <c r="H31" s="34"/>
      <c r="I31" s="34"/>
      <c r="J31" s="34"/>
      <c r="K31" s="34"/>
      <c r="L31" s="35"/>
      <c r="M31" s="36"/>
      <c r="N31" s="34"/>
      <c r="O31" s="34"/>
      <c r="P31" s="34"/>
      <c r="Q31" s="34"/>
    </row>
    <row r="32" spans="1:21" ht="21.6" customHeight="1">
      <c r="C32" s="50"/>
      <c r="D32" s="50"/>
      <c r="E32" s="95"/>
      <c r="F32" s="57"/>
      <c r="G32" s="34"/>
      <c r="H32" s="34"/>
      <c r="I32" s="34"/>
      <c r="J32" s="34"/>
      <c r="K32" s="34"/>
      <c r="L32" s="35"/>
      <c r="M32" s="36"/>
      <c r="N32" s="34"/>
      <c r="O32" s="34"/>
      <c r="P32" s="34"/>
      <c r="Q32" s="34"/>
    </row>
    <row r="33" spans="3:17" ht="21.6" customHeight="1">
      <c r="C33" s="50"/>
      <c r="D33" s="50"/>
      <c r="E33" s="95"/>
      <c r="F33" s="58"/>
      <c r="G33" s="34"/>
      <c r="H33" s="34"/>
      <c r="I33" s="34"/>
      <c r="J33" s="34"/>
      <c r="K33" s="34"/>
      <c r="L33" s="35"/>
      <c r="M33" s="36"/>
      <c r="N33" s="34"/>
      <c r="O33" s="34"/>
      <c r="P33" s="34"/>
      <c r="Q33" s="34"/>
    </row>
    <row r="34" spans="3:17">
      <c r="C34" s="50"/>
      <c r="D34" s="50"/>
      <c r="E34" s="34"/>
      <c r="F34" s="59"/>
      <c r="G34" s="34"/>
      <c r="H34" s="34"/>
      <c r="I34" s="34"/>
      <c r="J34" s="34"/>
      <c r="K34" s="34"/>
      <c r="L34" s="34"/>
      <c r="M34" s="34"/>
      <c r="N34" s="34"/>
    </row>
    <row r="35" spans="3:17">
      <c r="C35" s="50"/>
      <c r="D35" s="50"/>
      <c r="E35" s="34"/>
      <c r="F35" s="57"/>
      <c r="G35" s="34"/>
      <c r="H35" s="34"/>
      <c r="I35" s="34"/>
      <c r="J35" s="34"/>
      <c r="K35" s="34"/>
      <c r="L35" s="35"/>
      <c r="M35" s="34"/>
      <c r="N35" s="34"/>
    </row>
    <row r="36" spans="3:17">
      <c r="C36" s="50"/>
      <c r="D36" s="50"/>
      <c r="E36" s="34"/>
      <c r="F36" s="59"/>
      <c r="G36" s="34"/>
      <c r="H36" s="34"/>
      <c r="I36" s="34"/>
      <c r="J36" s="34"/>
      <c r="K36" s="34"/>
      <c r="L36" s="35"/>
      <c r="M36" s="34"/>
      <c r="N36" s="34"/>
    </row>
    <row r="37" spans="3:17">
      <c r="C37" s="50"/>
      <c r="D37" s="50"/>
      <c r="E37" s="34"/>
      <c r="F37" s="59"/>
      <c r="G37" s="34"/>
      <c r="H37" s="34"/>
      <c r="I37" s="34"/>
      <c r="J37" s="34"/>
      <c r="K37" s="34"/>
      <c r="L37" s="35"/>
      <c r="M37" s="34"/>
      <c r="N37" s="34"/>
    </row>
    <row r="38" spans="3:17">
      <c r="C38" s="50"/>
      <c r="D38" s="50"/>
      <c r="E38" s="34"/>
      <c r="F38" s="59"/>
      <c r="G38" s="34"/>
      <c r="H38" s="34"/>
      <c r="I38" s="34"/>
      <c r="J38" s="34"/>
      <c r="K38" s="34"/>
      <c r="L38" s="35"/>
      <c r="M38" s="34"/>
      <c r="N38" s="34"/>
    </row>
    <row r="39" spans="3:17">
      <c r="C39" s="50"/>
      <c r="D39" s="50"/>
      <c r="E39" s="34"/>
      <c r="F39" s="59"/>
      <c r="G39" s="34"/>
      <c r="H39" s="34"/>
      <c r="I39" s="34"/>
      <c r="J39" s="34"/>
      <c r="K39" s="34"/>
      <c r="L39" s="35"/>
      <c r="M39" s="34"/>
      <c r="N39" s="34"/>
    </row>
    <row r="40" spans="3:17">
      <c r="C40" s="50"/>
      <c r="D40" s="50"/>
      <c r="E40" s="34"/>
      <c r="F40" s="59"/>
      <c r="G40" s="34"/>
      <c r="H40" s="34"/>
      <c r="I40" s="34"/>
      <c r="J40" s="34"/>
      <c r="K40" s="34"/>
      <c r="L40" s="34"/>
      <c r="M40" s="34"/>
      <c r="N40" s="34"/>
    </row>
    <row r="41" spans="3:17">
      <c r="C41" s="50"/>
      <c r="D41" s="50"/>
      <c r="E41" s="34"/>
      <c r="F41" s="59"/>
      <c r="G41" s="34"/>
      <c r="H41" s="34"/>
      <c r="I41" s="34"/>
      <c r="J41" s="34"/>
      <c r="K41" s="34"/>
      <c r="L41" s="34"/>
      <c r="M41" s="34"/>
      <c r="N41" s="34"/>
    </row>
    <row r="42" spans="3:17">
      <c r="C42" s="50"/>
      <c r="D42" s="50"/>
      <c r="E42" s="34"/>
      <c r="F42" s="59"/>
      <c r="G42" s="34"/>
      <c r="H42" s="34"/>
      <c r="I42" s="34"/>
      <c r="J42" s="34"/>
      <c r="K42" s="34"/>
      <c r="L42" s="34"/>
      <c r="M42" s="34"/>
      <c r="N42" s="34"/>
    </row>
    <row r="43" spans="3:17">
      <c r="F43" s="59"/>
    </row>
    <row r="44" spans="3:17">
      <c r="F44" s="59"/>
    </row>
    <row r="45" spans="3:17">
      <c r="F45" s="56"/>
    </row>
    <row r="46" spans="3:17">
      <c r="F46" s="59"/>
    </row>
    <row r="47" spans="3:17">
      <c r="F47" s="60"/>
    </row>
    <row r="48" spans="3:17">
      <c r="F48" s="56"/>
    </row>
    <row r="49" spans="6:6">
      <c r="F49" s="57"/>
    </row>
    <row r="50" spans="6:6">
      <c r="F50" s="59"/>
    </row>
    <row r="51" spans="6:6">
      <c r="F51" s="56"/>
    </row>
    <row r="52" spans="6:6">
      <c r="F52" s="59"/>
    </row>
    <row r="53" spans="6:6">
      <c r="F53" s="58"/>
    </row>
    <row r="54" spans="6:6">
      <c r="F54" s="61"/>
    </row>
    <row r="55" spans="6:6">
      <c r="F55" s="58"/>
    </row>
    <row r="56" spans="6:6">
      <c r="F56" s="61"/>
    </row>
    <row r="57" spans="6:6">
      <c r="F57" s="58"/>
    </row>
    <row r="58" spans="6:6">
      <c r="F58" s="61"/>
    </row>
    <row r="59" spans="6:6">
      <c r="F59" s="58"/>
    </row>
    <row r="60" spans="6:6">
      <c r="F60" s="61"/>
    </row>
    <row r="61" spans="6:6">
      <c r="F61" s="58"/>
    </row>
    <row r="62" spans="6:6" ht="20.399999999999999">
      <c r="F62" s="62"/>
    </row>
    <row r="63" spans="6:6">
      <c r="F63" s="63" t="s">
        <v>98</v>
      </c>
    </row>
    <row r="64" spans="6:6">
      <c r="F64" s="63" t="s">
        <v>99</v>
      </c>
    </row>
    <row r="65" spans="6:6">
      <c r="F65" s="63" t="s">
        <v>100</v>
      </c>
    </row>
    <row r="66" spans="6:6">
      <c r="F66" s="63" t="s">
        <v>101</v>
      </c>
    </row>
    <row r="67" spans="6:6">
      <c r="F67" s="63" t="s">
        <v>102</v>
      </c>
    </row>
    <row r="68" spans="6:6">
      <c r="F68" s="64"/>
    </row>
    <row r="69" spans="6:6">
      <c r="F69" s="61"/>
    </row>
    <row r="70" spans="6:6">
      <c r="F70" s="58"/>
    </row>
    <row r="71" spans="6:6">
      <c r="F71" s="61"/>
    </row>
  </sheetData>
  <sheetProtection sheet="1" objects="1" scenarios="1" selectLockedCells="1"/>
  <mergeCells count="28">
    <mergeCell ref="C3:I3"/>
    <mergeCell ref="E29:E33"/>
    <mergeCell ref="F8:J8"/>
    <mergeCell ref="F9:J9"/>
    <mergeCell ref="F10:J10"/>
    <mergeCell ref="F11:J11"/>
    <mergeCell ref="F12:J12"/>
    <mergeCell ref="F13:J13"/>
    <mergeCell ref="F18:J18"/>
    <mergeCell ref="F7:J7"/>
    <mergeCell ref="F21:J21"/>
    <mergeCell ref="K9:O9"/>
    <mergeCell ref="K10:O10"/>
    <mergeCell ref="K11:O11"/>
    <mergeCell ref="K12:O12"/>
    <mergeCell ref="K8:O8"/>
    <mergeCell ref="K21:O21"/>
    <mergeCell ref="K13:O13"/>
    <mergeCell ref="F15:J15"/>
    <mergeCell ref="F16:J16"/>
    <mergeCell ref="K16:O16"/>
    <mergeCell ref="F17:J17"/>
    <mergeCell ref="K17:O17"/>
    <mergeCell ref="K18:O18"/>
    <mergeCell ref="F19:J19"/>
    <mergeCell ref="K19:O19"/>
    <mergeCell ref="F20:J20"/>
    <mergeCell ref="K20:O20"/>
  </mergeCells>
  <conditionalFormatting sqref="F29:L29 G30:L33">
    <cfRule type="expression" dxfId="1" priority="2">
      <formula>$M$22=1</formula>
    </cfRule>
  </conditionalFormatting>
  <conditionalFormatting sqref="M29:Q33">
    <cfRule type="expression" dxfId="0" priority="1">
      <formula>$M$22=1</formula>
    </cfRule>
  </conditionalFormatting>
  <dataValidations count="2">
    <dataValidation type="list" allowBlank="1" showInputMessage="1" showErrorMessage="1" sqref="M29" xr:uid="{7E39A65F-44EC-4F26-A568-B612135AF3B8}">
      <formula1>"DEPENDENTE,ALIMENTANDO"</formula1>
    </dataValidation>
    <dataValidation type="list" allowBlank="1" showInputMessage="1" showErrorMessage="1" sqref="K8:O8 K16:O16" xr:uid="{A9DC74F9-AA5C-4E10-91D5-94A42AA4601E}">
      <formula1>"Conta Corrente,Conta Poupança,Conta de Pagamento"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Escolha um tipo de Banco adequado!!!" promptTitle="Instrução" prompt="Escolha um tipo de Banco" xr:uid="{B35DD852-55FD-4B54-AC62-8DEA73210BFB}">
          <x14:formula1>
            <xm:f>Planilha1!$B$2:$B$51</xm:f>
          </x14:formula1>
          <xm:sqref>K9:O9 K17:O17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0DDC-7371-46A6-937E-B8E857328833}">
  <sheetPr>
    <pageSetUpPr autoPageBreaks="0"/>
  </sheetPr>
  <dimension ref="A1:D123"/>
  <sheetViews>
    <sheetView topLeftCell="A16" zoomScaleNormal="100" workbookViewId="0">
      <selection activeCell="D14" sqref="D14"/>
    </sheetView>
  </sheetViews>
  <sheetFormatPr defaultRowHeight="14.4"/>
  <cols>
    <col min="2" max="2" width="51.33203125" bestFit="1" customWidth="1"/>
    <col min="3" max="3" width="13.109375" customWidth="1"/>
    <col min="4" max="4" width="55.88671875" bestFit="1" customWidth="1"/>
  </cols>
  <sheetData>
    <row r="1" spans="2:4">
      <c r="B1" s="75" t="s">
        <v>207</v>
      </c>
      <c r="D1" s="75" t="s">
        <v>176</v>
      </c>
    </row>
    <row r="2" spans="2:4">
      <c r="B2" s="69" t="s">
        <v>109</v>
      </c>
      <c r="D2" s="69" t="s">
        <v>164</v>
      </c>
    </row>
    <row r="3" spans="2:4">
      <c r="B3" s="69" t="s">
        <v>110</v>
      </c>
      <c r="D3" s="69" t="s">
        <v>165</v>
      </c>
    </row>
    <row r="4" spans="2:4">
      <c r="B4" s="69" t="s">
        <v>111</v>
      </c>
      <c r="D4" s="69" t="s">
        <v>166</v>
      </c>
    </row>
    <row r="5" spans="2:4">
      <c r="B5" s="69" t="s">
        <v>112</v>
      </c>
      <c r="D5" s="69" t="s">
        <v>167</v>
      </c>
    </row>
    <row r="6" spans="2:4">
      <c r="B6" s="69" t="s">
        <v>113</v>
      </c>
      <c r="D6" s="69" t="s">
        <v>168</v>
      </c>
    </row>
    <row r="7" spans="2:4">
      <c r="B7" s="69" t="s">
        <v>114</v>
      </c>
      <c r="D7" s="69" t="s">
        <v>169</v>
      </c>
    </row>
    <row r="8" spans="2:4">
      <c r="B8" s="69" t="s">
        <v>115</v>
      </c>
      <c r="D8" s="69" t="s">
        <v>170</v>
      </c>
    </row>
    <row r="9" spans="2:4">
      <c r="B9" s="69" t="s">
        <v>116</v>
      </c>
      <c r="D9" s="69" t="s">
        <v>171</v>
      </c>
    </row>
    <row r="10" spans="2:4">
      <c r="B10" s="69" t="s">
        <v>117</v>
      </c>
      <c r="D10" s="69" t="s">
        <v>172</v>
      </c>
    </row>
    <row r="11" spans="2:4">
      <c r="B11" s="69" t="s">
        <v>118</v>
      </c>
      <c r="D11" s="69" t="s">
        <v>173</v>
      </c>
    </row>
    <row r="12" spans="2:4">
      <c r="B12" s="69" t="s">
        <v>119</v>
      </c>
      <c r="D12" s="69" t="s">
        <v>174</v>
      </c>
    </row>
    <row r="13" spans="2:4">
      <c r="B13" s="69" t="s">
        <v>120</v>
      </c>
      <c r="D13" s="70" t="s">
        <v>175</v>
      </c>
    </row>
    <row r="14" spans="2:4">
      <c r="B14" s="69" t="s">
        <v>121</v>
      </c>
      <c r="D14">
        <v>66</v>
      </c>
    </row>
    <row r="15" spans="2:4">
      <c r="B15" s="69" t="s">
        <v>122</v>
      </c>
      <c r="D15" s="75" t="s">
        <v>206</v>
      </c>
    </row>
    <row r="16" spans="2:4">
      <c r="B16" s="69" t="s">
        <v>123</v>
      </c>
      <c r="D16" s="73" t="s">
        <v>179</v>
      </c>
    </row>
    <row r="17" spans="2:4">
      <c r="B17" s="69" t="s">
        <v>124</v>
      </c>
      <c r="D17" s="73" t="s">
        <v>180</v>
      </c>
    </row>
    <row r="18" spans="2:4">
      <c r="B18" s="69" t="s">
        <v>125</v>
      </c>
      <c r="D18" s="73" t="s">
        <v>181</v>
      </c>
    </row>
    <row r="19" spans="2:4">
      <c r="B19" s="69" t="s">
        <v>126</v>
      </c>
      <c r="D19" s="73" t="s">
        <v>182</v>
      </c>
    </row>
    <row r="20" spans="2:4">
      <c r="B20" s="69" t="s">
        <v>127</v>
      </c>
      <c r="D20" s="73" t="s">
        <v>183</v>
      </c>
    </row>
    <row r="21" spans="2:4">
      <c r="B21" s="69" t="s">
        <v>128</v>
      </c>
      <c r="D21" s="73" t="s">
        <v>184</v>
      </c>
    </row>
    <row r="22" spans="2:4">
      <c r="B22" s="69" t="s">
        <v>129</v>
      </c>
      <c r="D22" s="73" t="s">
        <v>185</v>
      </c>
    </row>
    <row r="23" spans="2:4">
      <c r="B23" s="69" t="s">
        <v>130</v>
      </c>
      <c r="D23" s="73" t="s">
        <v>186</v>
      </c>
    </row>
    <row r="24" spans="2:4">
      <c r="B24" s="69" t="s">
        <v>131</v>
      </c>
      <c r="D24" s="73" t="s">
        <v>187</v>
      </c>
    </row>
    <row r="25" spans="2:4">
      <c r="B25" s="69" t="s">
        <v>132</v>
      </c>
      <c r="D25" s="73" t="s">
        <v>188</v>
      </c>
    </row>
    <row r="26" spans="2:4">
      <c r="B26" s="69" t="s">
        <v>133</v>
      </c>
      <c r="D26" s="73" t="s">
        <v>189</v>
      </c>
    </row>
    <row r="27" spans="2:4">
      <c r="B27" s="69" t="s">
        <v>134</v>
      </c>
      <c r="D27" s="73" t="s">
        <v>190</v>
      </c>
    </row>
    <row r="28" spans="2:4">
      <c r="B28" s="69" t="s">
        <v>135</v>
      </c>
      <c r="D28" s="73" t="s">
        <v>191</v>
      </c>
    </row>
    <row r="29" spans="2:4">
      <c r="B29" s="69" t="s">
        <v>136</v>
      </c>
      <c r="D29" s="73" t="s">
        <v>192</v>
      </c>
    </row>
    <row r="30" spans="2:4">
      <c r="B30" s="69" t="s">
        <v>137</v>
      </c>
      <c r="D30" s="73" t="s">
        <v>193</v>
      </c>
    </row>
    <row r="31" spans="2:4">
      <c r="B31" s="69" t="s">
        <v>138</v>
      </c>
      <c r="D31" s="73" t="s">
        <v>194</v>
      </c>
    </row>
    <row r="32" spans="2:4">
      <c r="B32" s="69" t="s">
        <v>139</v>
      </c>
      <c r="D32" s="73" t="s">
        <v>195</v>
      </c>
    </row>
    <row r="33" spans="2:4">
      <c r="B33" s="69" t="s">
        <v>140</v>
      </c>
      <c r="D33" s="73" t="s">
        <v>196</v>
      </c>
    </row>
    <row r="34" spans="2:4">
      <c r="B34" s="69" t="s">
        <v>141</v>
      </c>
      <c r="D34" s="73" t="s">
        <v>197</v>
      </c>
    </row>
    <row r="35" spans="2:4">
      <c r="B35" s="69" t="s">
        <v>142</v>
      </c>
      <c r="D35" s="73" t="s">
        <v>198</v>
      </c>
    </row>
    <row r="36" spans="2:4">
      <c r="B36" s="69" t="s">
        <v>143</v>
      </c>
      <c r="D36" s="73" t="s">
        <v>199</v>
      </c>
    </row>
    <row r="37" spans="2:4">
      <c r="B37" s="69" t="s">
        <v>144</v>
      </c>
      <c r="D37" s="73" t="s">
        <v>200</v>
      </c>
    </row>
    <row r="38" spans="2:4">
      <c r="B38" s="69" t="s">
        <v>145</v>
      </c>
      <c r="D38" s="73" t="s">
        <v>201</v>
      </c>
    </row>
    <row r="39" spans="2:4">
      <c r="B39" s="69" t="s">
        <v>146</v>
      </c>
      <c r="D39" s="73" t="s">
        <v>202</v>
      </c>
    </row>
    <row r="40" spans="2:4">
      <c r="B40" s="69" t="s">
        <v>147</v>
      </c>
      <c r="D40" s="73" t="s">
        <v>203</v>
      </c>
    </row>
    <row r="41" spans="2:4">
      <c r="B41" s="69" t="s">
        <v>148</v>
      </c>
      <c r="D41" s="73" t="s">
        <v>204</v>
      </c>
    </row>
    <row r="42" spans="2:4">
      <c r="B42" s="69" t="s">
        <v>149</v>
      </c>
      <c r="D42" s="74" t="s">
        <v>205</v>
      </c>
    </row>
    <row r="43" spans="2:4">
      <c r="B43" s="69" t="s">
        <v>150</v>
      </c>
    </row>
    <row r="44" spans="2:4">
      <c r="B44" s="69" t="s">
        <v>151</v>
      </c>
    </row>
    <row r="45" spans="2:4">
      <c r="B45" s="69" t="s">
        <v>152</v>
      </c>
    </row>
    <row r="46" spans="2:4">
      <c r="B46" s="69" t="s">
        <v>153</v>
      </c>
    </row>
    <row r="47" spans="2:4">
      <c r="B47" s="69" t="s">
        <v>154</v>
      </c>
    </row>
    <row r="48" spans="2:4">
      <c r="B48" s="69" t="s">
        <v>155</v>
      </c>
    </row>
    <row r="49" spans="2:3">
      <c r="B49" s="69" t="s">
        <v>156</v>
      </c>
    </row>
    <row r="50" spans="2:3">
      <c r="B50" s="69" t="s">
        <v>157</v>
      </c>
    </row>
    <row r="51" spans="2:3">
      <c r="B51" s="70" t="s">
        <v>158</v>
      </c>
    </row>
    <row r="52" spans="2:3">
      <c r="B52" s="8"/>
    </row>
    <row r="53" spans="2:3">
      <c r="B53" s="22" t="s">
        <v>92</v>
      </c>
      <c r="C53" s="23" t="s">
        <v>93</v>
      </c>
    </row>
    <row r="54" spans="2:3">
      <c r="B54" s="18" t="str">
        <f>IF(Perfil!M7&lt;&gt;"",Perfil!M7,"")</f>
        <v>Lucas Bernardo</v>
      </c>
      <c r="C54" s="20" t="str">
        <f>IF(B54&lt;&gt;"","TITULAR","")</f>
        <v>TITULAR</v>
      </c>
    </row>
    <row r="55" spans="2:3">
      <c r="B55" s="18" t="str">
        <f>IF(Perfil!M31&lt;&gt;"",Perfil!M31,"")</f>
        <v/>
      </c>
      <c r="C55" s="20" t="str">
        <f>IF(B55&lt;&gt;"","DEPENDENTE 1","")</f>
        <v/>
      </c>
    </row>
    <row r="56" spans="2:3">
      <c r="B56" s="18"/>
      <c r="C56" s="20"/>
    </row>
    <row r="57" spans="2:3">
      <c r="B57" s="19"/>
      <c r="C57" s="21"/>
    </row>
    <row r="58" spans="2:3">
      <c r="B58" s="7"/>
      <c r="C58" s="17"/>
    </row>
    <row r="59" spans="2:3">
      <c r="B59" s="7"/>
      <c r="C59" s="17"/>
    </row>
    <row r="60" spans="2:3">
      <c r="B60" s="8"/>
    </row>
    <row r="61" spans="2:3">
      <c r="B61" s="8"/>
    </row>
    <row r="62" spans="2:3">
      <c r="B62" s="8"/>
    </row>
    <row r="63" spans="2:3">
      <c r="B63" s="8"/>
    </row>
    <row r="64" spans="2:3">
      <c r="B64" s="8"/>
    </row>
    <row r="65" spans="1:2">
      <c r="B65" s="8"/>
    </row>
    <row r="66" spans="1:2">
      <c r="B66" s="16"/>
    </row>
    <row r="67" spans="1:2">
      <c r="B67" s="8"/>
    </row>
    <row r="68" spans="1:2">
      <c r="B68" s="8"/>
    </row>
    <row r="69" spans="1:2">
      <c r="B69" s="8"/>
    </row>
    <row r="70" spans="1:2">
      <c r="B70" s="8"/>
    </row>
    <row r="71" spans="1:2">
      <c r="B71" s="8"/>
    </row>
    <row r="74" spans="1:2" ht="20.399999999999999" customHeight="1">
      <c r="A74" s="112" t="s">
        <v>33</v>
      </c>
      <c r="B74" s="14" t="s">
        <v>36</v>
      </c>
    </row>
    <row r="75" spans="1:2" ht="16.8">
      <c r="A75" s="113"/>
      <c r="B75" s="14" t="s">
        <v>37</v>
      </c>
    </row>
    <row r="76" spans="1:2" ht="16.8">
      <c r="A76" s="113"/>
      <c r="B76" s="14" t="s">
        <v>38</v>
      </c>
    </row>
    <row r="77" spans="1:2" ht="16.8">
      <c r="A77" s="113"/>
      <c r="B77" s="14" t="s">
        <v>39</v>
      </c>
    </row>
    <row r="78" spans="1:2" ht="16.8">
      <c r="A78" s="113"/>
      <c r="B78" s="14" t="s">
        <v>40</v>
      </c>
    </row>
    <row r="79" spans="1:2" ht="16.8">
      <c r="A79" s="113"/>
      <c r="B79" s="14" t="s">
        <v>41</v>
      </c>
    </row>
    <row r="80" spans="1:2" ht="16.8">
      <c r="A80" s="114"/>
      <c r="B80" s="14" t="s">
        <v>42</v>
      </c>
    </row>
    <row r="81" spans="1:2" ht="16.8">
      <c r="A81" s="109" t="s">
        <v>34</v>
      </c>
      <c r="B81" s="14" t="s">
        <v>43</v>
      </c>
    </row>
    <row r="82" spans="1:2" ht="16.8">
      <c r="A82" s="110"/>
      <c r="B82" s="14" t="s">
        <v>44</v>
      </c>
    </row>
    <row r="83" spans="1:2" ht="16.8">
      <c r="A83" s="110"/>
      <c r="B83" s="14" t="s">
        <v>45</v>
      </c>
    </row>
    <row r="84" spans="1:2" ht="16.8">
      <c r="A84" s="110"/>
      <c r="B84" s="14" t="s">
        <v>46</v>
      </c>
    </row>
    <row r="85" spans="1:2" ht="16.8">
      <c r="A85" s="110"/>
      <c r="B85" s="14" t="s">
        <v>47</v>
      </c>
    </row>
    <row r="86" spans="1:2" ht="16.8">
      <c r="A86" s="110"/>
      <c r="B86" s="14" t="s">
        <v>48</v>
      </c>
    </row>
    <row r="87" spans="1:2" ht="16.8">
      <c r="A87" s="110"/>
      <c r="B87" s="14" t="s">
        <v>49</v>
      </c>
    </row>
    <row r="88" spans="1:2" ht="16.8">
      <c r="A88" s="110"/>
      <c r="B88" s="14" t="s">
        <v>50</v>
      </c>
    </row>
    <row r="89" spans="1:2" ht="16.8">
      <c r="A89" s="110"/>
      <c r="B89" s="14" t="s">
        <v>51</v>
      </c>
    </row>
    <row r="90" spans="1:2" ht="16.8">
      <c r="A90" s="111"/>
      <c r="B90" s="14" t="s">
        <v>52</v>
      </c>
    </row>
    <row r="91" spans="1:2" ht="20.399999999999999" customHeight="1">
      <c r="A91" s="108" t="s">
        <v>35</v>
      </c>
      <c r="B91" s="14" t="s">
        <v>53</v>
      </c>
    </row>
    <row r="92" spans="1:2" ht="16.8">
      <c r="A92" s="108"/>
      <c r="B92" s="14" t="s">
        <v>54</v>
      </c>
    </row>
    <row r="93" spans="1:2" ht="16.8">
      <c r="A93" s="108"/>
      <c r="B93" s="14" t="s">
        <v>55</v>
      </c>
    </row>
    <row r="94" spans="1:2" ht="16.8">
      <c r="A94" s="108"/>
      <c r="B94" s="14" t="s">
        <v>56</v>
      </c>
    </row>
    <row r="95" spans="1:2" ht="16.8">
      <c r="A95" s="108"/>
      <c r="B95" s="14" t="s">
        <v>57</v>
      </c>
    </row>
    <row r="96" spans="1:2" ht="16.8">
      <c r="A96" s="108"/>
      <c r="B96" s="14" t="s">
        <v>58</v>
      </c>
    </row>
    <row r="97" spans="1:4" ht="16.8">
      <c r="B97" s="15" t="s">
        <v>62</v>
      </c>
    </row>
    <row r="99" spans="1:4" ht="14.4" customHeight="1">
      <c r="A99" s="108" t="s">
        <v>64</v>
      </c>
      <c r="B99" s="14" t="s">
        <v>65</v>
      </c>
    </row>
    <row r="100" spans="1:4" ht="16.8">
      <c r="A100" s="108"/>
      <c r="B100" s="14" t="s">
        <v>66</v>
      </c>
    </row>
    <row r="101" spans="1:4" ht="17.399999999999999">
      <c r="A101" s="108"/>
      <c r="B101" s="14" t="s">
        <v>67</v>
      </c>
      <c r="D101" s="13"/>
    </row>
    <row r="102" spans="1:4" ht="16.8">
      <c r="A102" s="108"/>
      <c r="B102" s="14" t="s">
        <v>68</v>
      </c>
    </row>
    <row r="103" spans="1:4" ht="16.8">
      <c r="A103" s="108"/>
      <c r="B103" s="14" t="s">
        <v>69</v>
      </c>
    </row>
    <row r="104" spans="1:4" ht="16.8">
      <c r="A104" s="108"/>
      <c r="B104" s="14" t="s">
        <v>70</v>
      </c>
    </row>
    <row r="105" spans="1:4" ht="16.8">
      <c r="A105" s="108"/>
      <c r="B105" s="14" t="s">
        <v>71</v>
      </c>
    </row>
    <row r="106" spans="1:4" ht="16.8">
      <c r="A106" s="108"/>
      <c r="B106" s="14" t="s">
        <v>72</v>
      </c>
    </row>
    <row r="107" spans="1:4" ht="16.8">
      <c r="A107" s="115"/>
      <c r="B107" s="14" t="s">
        <v>73</v>
      </c>
    </row>
    <row r="108" spans="1:4" ht="16.8">
      <c r="A108" s="108" t="s">
        <v>74</v>
      </c>
      <c r="B108" s="14" t="s">
        <v>75</v>
      </c>
    </row>
    <row r="109" spans="1:4" ht="14.4" customHeight="1">
      <c r="A109" s="108"/>
      <c r="B109" s="14" t="s">
        <v>76</v>
      </c>
    </row>
    <row r="110" spans="1:4" ht="16.8">
      <c r="A110" s="108"/>
      <c r="B110" s="14" t="s">
        <v>77</v>
      </c>
    </row>
    <row r="111" spans="1:4" ht="16.8">
      <c r="A111" s="108"/>
      <c r="B111" s="14" t="s">
        <v>78</v>
      </c>
    </row>
    <row r="112" spans="1:4" ht="16.8">
      <c r="A112" s="108"/>
      <c r="B112" s="14" t="s">
        <v>79</v>
      </c>
    </row>
    <row r="113" spans="1:4" ht="17.399999999999999">
      <c r="A113" s="108"/>
      <c r="B113" s="14" t="s">
        <v>80</v>
      </c>
      <c r="D113" s="13"/>
    </row>
    <row r="114" spans="1:4" ht="16.8">
      <c r="A114" s="108"/>
      <c r="B114" s="14" t="s">
        <v>81</v>
      </c>
    </row>
    <row r="115" spans="1:4" ht="16.8">
      <c r="B115" s="15" t="s">
        <v>62</v>
      </c>
    </row>
    <row r="121" spans="1:4">
      <c r="B121" s="11"/>
    </row>
    <row r="122" spans="1:4">
      <c r="B122" s="12"/>
    </row>
    <row r="123" spans="1:4">
      <c r="B123" s="11"/>
    </row>
  </sheetData>
  <mergeCells count="5">
    <mergeCell ref="A108:A114"/>
    <mergeCell ref="A81:A90"/>
    <mergeCell ref="A74:A80"/>
    <mergeCell ref="A91:A96"/>
    <mergeCell ref="A99:A10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Perfil</vt:lpstr>
      <vt:lpstr>Movimentações</vt:lpstr>
      <vt:lpstr>PT_DV</vt:lpstr>
      <vt:lpstr>D_BC</vt:lpstr>
      <vt:lpstr>Planilha1</vt:lpstr>
      <vt:lpstr>Despesas_Dedutivas</vt:lpstr>
      <vt:lpstr>Despesas_Incentivadas</vt:lpstr>
      <vt:lpstr>Rendimentos_Exclusivos</vt:lpstr>
      <vt:lpstr>Rendimentos_Isentos</vt:lpstr>
      <vt:lpstr>Rendimentos_Tributaveis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Mauricio</dc:creator>
  <cp:lastModifiedBy>Josue David John Mauricio Astuhuaman</cp:lastModifiedBy>
  <dcterms:created xsi:type="dcterms:W3CDTF">2015-06-05T18:17:20Z</dcterms:created>
  <dcterms:modified xsi:type="dcterms:W3CDTF">2026-09-11T02:53:43Z</dcterms:modified>
</cp:coreProperties>
</file>